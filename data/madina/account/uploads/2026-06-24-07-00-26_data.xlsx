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mma Al Enjaz\Desktop\Finance\"/>
    </mc:Choice>
  </mc:AlternateContent>
  <xr:revisionPtr revIDLastSave="0" documentId="8_{395FACF9-572B-4255-87B9-290B103D9282}" xr6:coauthVersionLast="47" xr6:coauthVersionMax="47" xr10:uidLastSave="{00000000-0000-0000-0000-000000000000}"/>
  <bookViews>
    <workbookView xWindow="22932" yWindow="-108" windowWidth="23256" windowHeight="12456" xr2:uid="{D73D1026-DFB8-41FA-A1F0-DCB4FDB1A12A}"/>
  </bookViews>
  <sheets>
    <sheet name="Sheet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0" i="1" l="1"/>
  <c r="J45" i="1"/>
  <c r="E43" i="1"/>
  <c r="E44" i="1" s="1"/>
  <c r="E45" i="1" s="1"/>
  <c r="K42" i="1"/>
  <c r="K44" i="1" s="1"/>
  <c r="K46" i="1" s="1"/>
  <c r="D42" i="1"/>
  <c r="J21" i="1" s="1"/>
  <c r="D41" i="1"/>
  <c r="J20" i="1" s="1"/>
  <c r="D40" i="1"/>
  <c r="J37" i="1" s="1"/>
  <c r="J42" i="1" s="1"/>
  <c r="D39" i="1"/>
  <c r="D38" i="1"/>
  <c r="D37" i="1"/>
  <c r="D43" i="1" s="1"/>
  <c r="K34" i="1"/>
  <c r="E34" i="1"/>
  <c r="D33" i="1"/>
  <c r="J13" i="1" s="1"/>
  <c r="D32" i="1"/>
  <c r="D31" i="1"/>
  <c r="D34" i="1" s="1"/>
  <c r="E28" i="1"/>
  <c r="D27" i="1"/>
  <c r="D26" i="1"/>
  <c r="D25" i="1"/>
  <c r="D24" i="1"/>
  <c r="J30" i="1" s="1"/>
  <c r="K22" i="1"/>
  <c r="K26" i="1" s="1"/>
  <c r="E20" i="1"/>
  <c r="E21" i="1" s="1"/>
  <c r="D19" i="1"/>
  <c r="D18" i="1"/>
  <c r="J33" i="1" s="1"/>
  <c r="J17" i="1"/>
  <c r="D17" i="1"/>
  <c r="J19" i="1" s="1"/>
  <c r="D16" i="1"/>
  <c r="J18" i="1" s="1"/>
  <c r="D15" i="1"/>
  <c r="D14" i="1"/>
  <c r="D20" i="1" s="1"/>
  <c r="E11" i="1"/>
  <c r="D10" i="1"/>
  <c r="D9" i="1"/>
  <c r="D8" i="1"/>
  <c r="D7" i="1"/>
  <c r="D11" i="1" s="1"/>
  <c r="J29" i="1" s="1"/>
  <c r="J6" i="1"/>
  <c r="K4" i="1"/>
  <c r="J4" i="1"/>
  <c r="B1" i="1"/>
  <c r="J22" i="1" l="1"/>
  <c r="J26" i="1" s="1"/>
  <c r="J34" i="1"/>
  <c r="J44" i="1" s="1"/>
  <c r="J46" i="1" s="1"/>
  <c r="J47" i="1" s="1"/>
  <c r="E46" i="1"/>
  <c r="D44" i="1"/>
  <c r="D21" i="1"/>
  <c r="D28" i="1"/>
  <c r="J16" i="1"/>
  <c r="D46" i="1" l="1"/>
  <c r="D45" i="1"/>
</calcChain>
</file>

<file path=xl/sharedStrings.xml><?xml version="1.0" encoding="utf-8"?>
<sst xmlns="http://schemas.openxmlformats.org/spreadsheetml/2006/main" count="81" uniqueCount="74">
  <si>
    <t>Balance Sheet</t>
  </si>
  <si>
    <t>Cash Flow Report</t>
  </si>
  <si>
    <t>In house</t>
  </si>
  <si>
    <t>Period</t>
  </si>
  <si>
    <t>OPERATING ACTIVITIES</t>
  </si>
  <si>
    <t>Non Current Assets</t>
  </si>
  <si>
    <t>Net income before zakat and income tax</t>
  </si>
  <si>
    <t>Property, plant and equipment</t>
  </si>
  <si>
    <t>Capital work in progress</t>
  </si>
  <si>
    <t>Adjustments for:</t>
  </si>
  <si>
    <t xml:space="preserve">Right on use of assets </t>
  </si>
  <si>
    <t>Depreciation and amortization</t>
  </si>
  <si>
    <t>Intangible assets</t>
  </si>
  <si>
    <t>Finance charges</t>
  </si>
  <si>
    <t xml:space="preserve">Total Non Current Assets </t>
  </si>
  <si>
    <t>(Gain)/Loss from sale of property and equipment</t>
  </si>
  <si>
    <t>Allowance for Obsolete &amp; slow moving inventory</t>
  </si>
  <si>
    <t>Current Assets</t>
  </si>
  <si>
    <t>Employees’ end of service benefits</t>
  </si>
  <si>
    <t>Inventories</t>
  </si>
  <si>
    <t xml:space="preserve">Accounts receivable </t>
  </si>
  <si>
    <t>Changes in operating assets and liabilities:</t>
  </si>
  <si>
    <t>Prepayments and other receivables</t>
  </si>
  <si>
    <t xml:space="preserve">Other current assets </t>
  </si>
  <si>
    <t xml:space="preserve">Trade receivables </t>
  </si>
  <si>
    <t>Short term debt receivable from RP</t>
  </si>
  <si>
    <t>Bank balances and cash</t>
  </si>
  <si>
    <t>Other current assets</t>
  </si>
  <si>
    <t xml:space="preserve">Total Current Assets </t>
  </si>
  <si>
    <t>Trade and other payables</t>
  </si>
  <si>
    <t>TOTAL ASSETS</t>
  </si>
  <si>
    <t>Other current liabilities</t>
  </si>
  <si>
    <t>Cash from operations</t>
  </si>
  <si>
    <t>Equity</t>
  </si>
  <si>
    <t>Finance cost paid</t>
  </si>
  <si>
    <t>Owner Contribution</t>
  </si>
  <si>
    <t>Zakat paid</t>
  </si>
  <si>
    <t>Statutory Reserves</t>
  </si>
  <si>
    <t>Employees’ end of service benefit paid</t>
  </si>
  <si>
    <t>Current Year Profit (Loss)</t>
  </si>
  <si>
    <t>Net cash from operating activities</t>
  </si>
  <si>
    <t>Retained Earnings</t>
  </si>
  <si>
    <t>Total equity</t>
  </si>
  <si>
    <t>INVESTING ACTIVITIES</t>
  </si>
  <si>
    <t>Acquisition of property and equipment and intangible assets</t>
  </si>
  <si>
    <t>Non-current liability</t>
  </si>
  <si>
    <t xml:space="preserve">Long-term loans </t>
  </si>
  <si>
    <t>Proceeds from disposal of PPE</t>
  </si>
  <si>
    <t xml:space="preserve">Long-term lease liability </t>
  </si>
  <si>
    <t>Other Financial Liability</t>
  </si>
  <si>
    <t>Employees' end of service benefits</t>
  </si>
  <si>
    <t>Short term loan</t>
  </si>
  <si>
    <t>Total Non Current liabilities</t>
  </si>
  <si>
    <t>Net cash from investing activities</t>
  </si>
  <si>
    <t>Current liabilities</t>
  </si>
  <si>
    <t>FINANCING ACTIVITIES</t>
  </si>
  <si>
    <t xml:space="preserve">Zakat Payable </t>
  </si>
  <si>
    <t>Net cash in short term borrowings</t>
  </si>
  <si>
    <t>Current portion of long-term debt</t>
  </si>
  <si>
    <t>Proceeds from long term borrowings</t>
  </si>
  <si>
    <t xml:space="preserve">Current portion of lease liability </t>
  </si>
  <si>
    <t>Repayments of long term borrowings</t>
  </si>
  <si>
    <t>Short-term borrowings</t>
  </si>
  <si>
    <t>Principal Payments of lease liability</t>
  </si>
  <si>
    <t xml:space="preserve">Trade and other payables </t>
  </si>
  <si>
    <t>Principal Payments of other financial liability</t>
  </si>
  <si>
    <t xml:space="preserve">Other liabilities </t>
  </si>
  <si>
    <t>Net cash (used in)/from financing activities</t>
  </si>
  <si>
    <t>Total Current liabilities</t>
  </si>
  <si>
    <t>Total Liabilities</t>
  </si>
  <si>
    <t>Net change in cash and cash equivalents</t>
  </si>
  <si>
    <t>TOTAL EQUITY AND LIABILITIES</t>
  </si>
  <si>
    <t>Cash and cash equivalents, January 1</t>
  </si>
  <si>
    <t>Closing Cash and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</si>
</sst>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[$-409]d\-mmm\-yyyy;@"/>
    <numFmt numFmtId="165" formatCode="_(* #,##0_);_(* \(#,##0\);_(* &quot;-&quot;??_);_(@_)"/>
    <numFmt numFmtId="166" formatCode="[$-409]mmm/yy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entury Gothic"/>
      <family val="2"/>
    </font>
    <font>
      <b/>
      <sz val="9"/>
      <name val="Century Gothic"/>
      <family val="2"/>
    </font>
    <font>
      <b/>
      <sz val="9"/>
      <color rgb="FF694E0C"/>
      <name val="Century Gothic"/>
      <family val="2"/>
    </font>
    <font>
      <b/>
      <sz val="9"/>
      <color rgb="FFFF0000"/>
      <name val="Century Gothic"/>
      <family val="2"/>
    </font>
    <font>
      <sz val="9"/>
      <color rgb="FFFF0000"/>
      <name val="Century Gothic"/>
      <family val="2"/>
    </font>
    <font>
      <b/>
      <sz val="9"/>
      <color theme="1"/>
      <name val="Century Gothic"/>
      <family val="2"/>
    </font>
    <font>
      <sz val="9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/>
  </cellStyleXfs>
  <cellXfs count="73">
    <xf numFmtId="0" fontId="0" fillId="0" borderId="0" xfId="0"/>
    <xf numFmtId="1" fontId="2" fillId="2" borderId="0" xfId="0" applyNumberFormat="1" applyFont="1" applyFill="1" applyAlignment="1">
      <alignment horizontal="right"/>
    </xf>
    <xf numFmtId="0" fontId="3" fillId="3" borderId="0" xfId="0" applyFont="1" applyFill="1"/>
    <xf numFmtId="0" fontId="2" fillId="0" borderId="0" xfId="0" applyFont="1"/>
    <xf numFmtId="0" fontId="2" fillId="0" borderId="0" xfId="0" applyFont="1" applyAlignment="1">
      <alignment horizontal="right"/>
    </xf>
    <xf numFmtId="0" fontId="2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2" fillId="2" borderId="0" xfId="0" applyFont="1" applyFill="1" applyAlignment="1">
      <alignment horizontal="right"/>
    </xf>
    <xf numFmtId="0" fontId="4" fillId="3" borderId="0" xfId="0" applyFont="1" applyFill="1"/>
    <xf numFmtId="0" fontId="3" fillId="3" borderId="0" xfId="0" applyFont="1" applyFill="1" applyAlignment="1">
      <alignment horizontal="center"/>
    </xf>
    <xf numFmtId="164" fontId="3" fillId="3" borderId="0" xfId="0" applyNumberFormat="1" applyFont="1" applyFill="1" applyAlignment="1">
      <alignment horizontal="center"/>
    </xf>
    <xf numFmtId="164" fontId="3" fillId="3" borderId="0" xfId="0" applyNumberFormat="1" applyFont="1" applyFill="1"/>
    <xf numFmtId="41" fontId="2" fillId="2" borderId="0" xfId="0" applyNumberFormat="1" applyFont="1" applyFill="1"/>
    <xf numFmtId="41" fontId="2" fillId="2" borderId="0" xfId="0" applyNumberFormat="1" applyFont="1" applyFill="1" applyProtection="1">
      <protection locked="0"/>
    </xf>
    <xf numFmtId="0" fontId="6" fillId="2" borderId="0" xfId="0" applyFont="1" applyFill="1" applyAlignment="1">
      <alignment horizontal="right"/>
    </xf>
    <xf numFmtId="0" fontId="7" fillId="2" borderId="0" xfId="0" applyFont="1" applyFill="1"/>
    <xf numFmtId="43" fontId="2" fillId="2" borderId="0" xfId="2" applyFont="1" applyFill="1" applyProtection="1">
      <protection locked="0"/>
    </xf>
    <xf numFmtId="165" fontId="8" fillId="2" borderId="0" xfId="3" applyNumberFormat="1" applyFont="1" applyFill="1" applyBorder="1" applyAlignment="1" applyProtection="1">
      <alignment horizontal="right"/>
      <protection locked="0"/>
    </xf>
    <xf numFmtId="165" fontId="2" fillId="2" borderId="0" xfId="3" applyNumberFormat="1" applyFont="1" applyFill="1" applyBorder="1" applyAlignment="1" applyProtection="1">
      <alignment horizontal="right"/>
      <protection locked="0"/>
    </xf>
    <xf numFmtId="165" fontId="2" fillId="2" borderId="0" xfId="0" applyNumberFormat="1" applyFont="1" applyFill="1"/>
    <xf numFmtId="41" fontId="8" fillId="2" borderId="0" xfId="0" applyNumberFormat="1" applyFont="1" applyFill="1"/>
    <xf numFmtId="41" fontId="8" fillId="0" borderId="0" xfId="0" applyNumberFormat="1" applyFont="1"/>
    <xf numFmtId="165" fontId="6" fillId="2" borderId="0" xfId="1" applyNumberFormat="1" applyFont="1" applyFill="1" applyAlignment="1">
      <alignment horizontal="right"/>
    </xf>
    <xf numFmtId="41" fontId="2" fillId="2" borderId="0" xfId="0" applyNumberFormat="1" applyFont="1" applyFill="1" applyAlignment="1">
      <alignment horizontal="right"/>
    </xf>
    <xf numFmtId="0" fontId="7" fillId="2" borderId="1" xfId="0" applyFont="1" applyFill="1" applyBorder="1"/>
    <xf numFmtId="41" fontId="3" fillId="2" borderId="1" xfId="0" applyNumberFormat="1" applyFont="1" applyFill="1" applyBorder="1"/>
    <xf numFmtId="41" fontId="3" fillId="2" borderId="0" xfId="0" applyNumberFormat="1" applyFont="1" applyFill="1"/>
    <xf numFmtId="41" fontId="3" fillId="0" borderId="0" xfId="0" applyNumberFormat="1" applyFont="1"/>
    <xf numFmtId="41" fontId="6" fillId="2" borderId="0" xfId="0" applyNumberFormat="1" applyFont="1" applyFill="1" applyAlignment="1">
      <alignment horizontal="right"/>
    </xf>
    <xf numFmtId="16" fontId="2" fillId="2" borderId="0" xfId="0" quotePrefix="1" applyNumberFormat="1" applyFont="1" applyFill="1" applyAlignment="1">
      <alignment horizontal="right"/>
    </xf>
    <xf numFmtId="0" fontId="2" fillId="2" borderId="0" xfId="0" quotePrefix="1" applyFont="1" applyFill="1" applyAlignment="1">
      <alignment horizontal="right"/>
    </xf>
    <xf numFmtId="0" fontId="7" fillId="2" borderId="2" xfId="0" applyFont="1" applyFill="1" applyBorder="1"/>
    <xf numFmtId="41" fontId="3" fillId="2" borderId="2" xfId="0" applyNumberFormat="1" applyFont="1" applyFill="1" applyBorder="1"/>
    <xf numFmtId="0" fontId="2" fillId="2" borderId="3" xfId="0" applyFont="1" applyFill="1" applyBorder="1"/>
    <xf numFmtId="165" fontId="2" fillId="2" borderId="3" xfId="3" applyNumberFormat="1" applyFont="1" applyFill="1" applyBorder="1" applyAlignment="1" applyProtection="1">
      <alignment horizontal="right"/>
      <protection locked="0"/>
    </xf>
    <xf numFmtId="0" fontId="8" fillId="2" borderId="0" xfId="0" applyFont="1" applyFill="1"/>
    <xf numFmtId="0" fontId="8" fillId="0" borderId="0" xfId="0" applyFont="1"/>
    <xf numFmtId="0" fontId="7" fillId="0" borderId="0" xfId="0" applyFont="1"/>
    <xf numFmtId="165" fontId="3" fillId="0" borderId="0" xfId="2" applyNumberFormat="1" applyFont="1" applyBorder="1" applyProtection="1">
      <protection locked="0"/>
    </xf>
    <xf numFmtId="165" fontId="8" fillId="0" borderId="0" xfId="2" applyNumberFormat="1" applyFont="1" applyBorder="1" applyProtection="1">
      <protection locked="0"/>
    </xf>
    <xf numFmtId="165" fontId="2" fillId="0" borderId="0" xfId="2" applyNumberFormat="1" applyFont="1" applyBorder="1" applyProtection="1">
      <protection locked="0"/>
    </xf>
    <xf numFmtId="0" fontId="7" fillId="0" borderId="1" xfId="0" applyFont="1" applyBorder="1"/>
    <xf numFmtId="165" fontId="3" fillId="0" borderId="1" xfId="0" applyNumberFormat="1" applyFont="1" applyBorder="1" applyProtection="1">
      <protection locked="0"/>
    </xf>
    <xf numFmtId="165" fontId="2" fillId="2" borderId="0" xfId="2" applyNumberFormat="1" applyFont="1" applyFill="1" applyBorder="1" applyProtection="1">
      <protection locked="0"/>
    </xf>
    <xf numFmtId="41" fontId="7" fillId="2" borderId="1" xfId="0" applyNumberFormat="1" applyFont="1" applyFill="1" applyBorder="1"/>
    <xf numFmtId="41" fontId="7" fillId="2" borderId="0" xfId="0" applyNumberFormat="1" applyFont="1" applyFill="1"/>
    <xf numFmtId="41" fontId="7" fillId="0" borderId="0" xfId="0" applyNumberFormat="1" applyFont="1"/>
    <xf numFmtId="165" fontId="3" fillId="0" borderId="0" xfId="0" applyNumberFormat="1" applyFont="1" applyProtection="1">
      <protection locked="0"/>
    </xf>
    <xf numFmtId="41" fontId="2" fillId="0" borderId="0" xfId="0" applyNumberFormat="1" applyFont="1"/>
    <xf numFmtId="165" fontId="7" fillId="2" borderId="0" xfId="3" applyNumberFormat="1" applyFont="1" applyFill="1" applyBorder="1" applyAlignment="1" applyProtection="1">
      <alignment horizontal="right"/>
      <protection locked="0"/>
    </xf>
    <xf numFmtId="165" fontId="8" fillId="2" borderId="0" xfId="1" applyNumberFormat="1" applyFont="1" applyFill="1" applyBorder="1" applyAlignment="1" applyProtection="1">
      <alignment horizontal="right"/>
      <protection locked="0"/>
    </xf>
    <xf numFmtId="43" fontId="2" fillId="2" borderId="0" xfId="1" applyFont="1" applyFill="1" applyBorder="1" applyAlignment="1" applyProtection="1">
      <alignment horizontal="right"/>
      <protection locked="0"/>
    </xf>
    <xf numFmtId="43" fontId="8" fillId="2" borderId="0" xfId="1" applyFont="1" applyFill="1" applyBorder="1" applyAlignment="1" applyProtection="1">
      <alignment horizontal="right"/>
      <protection locked="0"/>
    </xf>
    <xf numFmtId="166" fontId="2" fillId="2" borderId="0" xfId="4" applyFont="1" applyFill="1"/>
    <xf numFmtId="41" fontId="7" fillId="2" borderId="1" xfId="0" applyNumberFormat="1" applyFont="1" applyFill="1" applyBorder="1" applyAlignment="1">
      <alignment horizontal="left"/>
    </xf>
    <xf numFmtId="41" fontId="3" fillId="0" borderId="1" xfId="0" applyNumberFormat="1" applyFont="1" applyBorder="1"/>
    <xf numFmtId="41" fontId="2" fillId="2" borderId="0" xfId="0" applyNumberFormat="1" applyFont="1" applyFill="1" applyAlignment="1">
      <alignment horizontal="left"/>
    </xf>
    <xf numFmtId="41" fontId="7" fillId="0" borderId="1" xfId="0" applyNumberFormat="1" applyFont="1" applyBorder="1"/>
    <xf numFmtId="41" fontId="7" fillId="0" borderId="2" xfId="0" applyNumberFormat="1" applyFont="1" applyBorder="1"/>
    <xf numFmtId="41" fontId="2" fillId="0" borderId="0" xfId="0" applyNumberFormat="1" applyFont="1" applyAlignment="1">
      <alignment horizontal="left"/>
    </xf>
    <xf numFmtId="0" fontId="2" fillId="0" borderId="3" xfId="0" applyFont="1" applyBorder="1"/>
    <xf numFmtId="41" fontId="6" fillId="2" borderId="3" xfId="0" applyNumberFormat="1" applyFont="1" applyFill="1" applyBorder="1"/>
    <xf numFmtId="0" fontId="6" fillId="0" borderId="0" xfId="0" applyFont="1" applyAlignment="1">
      <alignment horizontal="right"/>
    </xf>
    <xf numFmtId="0" fontId="7" fillId="4" borderId="0" xfId="0" applyFont="1" applyFill="1"/>
    <xf numFmtId="41" fontId="7" fillId="4" borderId="0" xfId="0" applyNumberFormat="1" applyFont="1" applyFill="1" applyAlignment="1">
      <alignment horizontal="left"/>
    </xf>
    <xf numFmtId="41" fontId="6" fillId="0" borderId="0" xfId="0" applyNumberFormat="1" applyFont="1" applyAlignment="1">
      <alignment horizontal="left"/>
    </xf>
    <xf numFmtId="165" fontId="2" fillId="0" borderId="0" xfId="1" applyNumberFormat="1" applyFont="1"/>
    <xf numFmtId="165" fontId="2" fillId="0" borderId="0" xfId="0" applyNumberFormat="1" applyFont="1"/>
    <xf numFmtId="43" fontId="2" fillId="0" borderId="0" xfId="0" applyNumberFormat="1" applyFont="1"/>
    <xf numFmtId="0" fontId="2" fillId="5" borderId="0" xfId="0" applyFont="1" applyFill="1" applyAlignment="1">
      <alignment horizontal="right"/>
    </xf>
    <xf numFmtId="0" fontId="2" fillId="5" borderId="0" xfId="0" applyFont="1" applyFill="1"/>
    <xf numFmtId="41" fontId="2" fillId="5" borderId="0" xfId="0" applyNumberFormat="1" applyFont="1" applyFill="1" applyAlignment="1">
      <alignment horizontal="left"/>
    </xf>
  </cellXfs>
  <cellStyles count="5">
    <cellStyle name="Comma" xfId="1" builtinId="3"/>
    <cellStyle name="Comma 10" xfId="2" xr:uid="{6CF646EA-96F1-4B1E-A415-5C99E0A062D5}"/>
    <cellStyle name="Comma 2 2 2 2" xfId="3" xr:uid="{716152B4-D007-48E4-9750-35A9B5BAAEFE}"/>
    <cellStyle name="Normal" xfId="0" builtinId="0"/>
    <cellStyle name="Normal_Balance sheet 2" xfId="4" xr:uid="{A47F2C9D-4A1C-4EEE-AF4A-7B1AE4BA12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asheed-DSAA/Greencity-Joint%20Venture/LOR%202026/March%202026/Monthly%20GC%20financials%20-March.xlsx" TargetMode="External"/><Relationship Id="rId2" Type="http://schemas.openxmlformats.org/officeDocument/2006/relationships/externalLinkPath" Target="file:///C:\Rasheed-DSAA\Greencity-Joint%20Venture\LOR%202026\March%202026\Monthly%20GC%20financials%20-March.xlsx" TargetMode="External"/><Relationship Id="rId1" Type="http://schemas.openxmlformats.org/officeDocument/2006/relationships/externalLinkPath" Target="/Rasheed-DSAA/Greencity-Joint%20Venture/LOR%202026/March%202026/Monthly%20GC%20financials%20-March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DS%20plstic%20tb%20BS%20&amp;%20Cf.xlsx" TargetMode="External"/><Relationship Id="rId2" Type="http://schemas.openxmlformats.org/officeDocument/2006/relationships/externalLinkPath" Target="file:///C:\Users\Namma%20Al%20Enjaz\Desktop\DS%20plstic%20tb%20BS%20&amp;%20Cf.xlsx" TargetMode="External"/><Relationship Id="rId1" Type="http://schemas.openxmlformats.org/officeDocument/2006/relationships/externalLinkPath" Target="/Users/Namma%20Al%20Enjaz/Desktop/DS%20plstic%20tb%20BS%20&amp;%20C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L-Mgmt"/>
      <sheetName val="BS &amp; CF"/>
      <sheetName val="Trail balance"/>
      <sheetName val="S"/>
      <sheetName val="Sheet5"/>
      <sheetName val="sheet6"/>
      <sheetName val="sheet7"/>
      <sheetName val="sheet8"/>
      <sheetName val="sheet"/>
      <sheetName val="sheet9"/>
      <sheetName val="Sheet1"/>
      <sheetName val="HC"/>
      <sheetName val="Operating Exp charge calculatio"/>
      <sheetName val="Sheet2"/>
      <sheetName val="Sheet3"/>
      <sheetName val="Opex"/>
    </sheetNames>
    <sheetDataSet>
      <sheetData sheetId="0" refreshError="1">
        <row r="1">
          <cell r="B1" t="str">
            <v>Greencity International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rial"/>
      <sheetName val="bs and cf"/>
    </sheetNames>
    <sheetDataSet>
      <sheetData sheetId="0"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21743.040000000037</v>
          </cell>
          <cell r="I10" t="str">
            <v>Bank balances and cash</v>
          </cell>
        </row>
        <row r="11">
          <cell r="H11">
            <v>0</v>
          </cell>
          <cell r="I11" t="str">
            <v>Bank balances and cash</v>
          </cell>
        </row>
        <row r="12">
          <cell r="H12">
            <v>0</v>
          </cell>
          <cell r="I12" t="str">
            <v>Bank balances and cash</v>
          </cell>
        </row>
        <row r="13">
          <cell r="H13">
            <v>0</v>
          </cell>
          <cell r="I13" t="str">
            <v>Bank balances and cash</v>
          </cell>
        </row>
        <row r="14">
          <cell r="H14">
            <v>0</v>
          </cell>
          <cell r="I14" t="str">
            <v>Bank balances and cash</v>
          </cell>
        </row>
        <row r="15">
          <cell r="H15">
            <v>0</v>
          </cell>
          <cell r="I15" t="str">
            <v>Bank balances and cash</v>
          </cell>
        </row>
        <row r="16">
          <cell r="H16">
            <v>31904.550000000745</v>
          </cell>
          <cell r="I16" t="str">
            <v>Bank balances and cash</v>
          </cell>
        </row>
        <row r="17">
          <cell r="H17">
            <v>100</v>
          </cell>
          <cell r="I17" t="str">
            <v>Bank balances and cash</v>
          </cell>
        </row>
        <row r="18">
          <cell r="H18">
            <v>0</v>
          </cell>
          <cell r="I18" t="str">
            <v>Bank balances and cash</v>
          </cell>
        </row>
        <row r="19">
          <cell r="H19">
            <v>0</v>
          </cell>
          <cell r="I19" t="str">
            <v>Bank balances and cash</v>
          </cell>
        </row>
        <row r="20">
          <cell r="H20">
            <v>0</v>
          </cell>
        </row>
        <row r="21">
          <cell r="H21">
            <v>-1222.1999999992549</v>
          </cell>
          <cell r="I21" t="str">
            <v xml:space="preserve">Accounts receivable </v>
          </cell>
        </row>
        <row r="22">
          <cell r="H22">
            <v>0</v>
          </cell>
          <cell r="I22" t="str">
            <v xml:space="preserve">Accounts receivable </v>
          </cell>
        </row>
        <row r="23">
          <cell r="H23">
            <v>-4.0000000000873115E-2</v>
          </cell>
          <cell r="I23" t="str">
            <v xml:space="preserve">Accounts receivable </v>
          </cell>
        </row>
        <row r="24">
          <cell r="H24">
            <v>33653.75</v>
          </cell>
          <cell r="I24" t="str">
            <v xml:space="preserve">Accounts receivable </v>
          </cell>
        </row>
        <row r="25">
          <cell r="H25">
            <v>273.82999999999993</v>
          </cell>
          <cell r="I25" t="str">
            <v xml:space="preserve">Accounts receivable </v>
          </cell>
        </row>
        <row r="26">
          <cell r="H26">
            <v>2805.9000000000015</v>
          </cell>
          <cell r="I26" t="str">
            <v xml:space="preserve">Accounts receivable </v>
          </cell>
        </row>
        <row r="27">
          <cell r="H27">
            <v>6631.4499999999971</v>
          </cell>
          <cell r="I27" t="str">
            <v xml:space="preserve">Accounts receivable </v>
          </cell>
        </row>
        <row r="28">
          <cell r="H28">
            <v>9802.9500000000044</v>
          </cell>
          <cell r="I28" t="str">
            <v xml:space="preserve">Accounts receivable </v>
          </cell>
        </row>
        <row r="29">
          <cell r="H29">
            <v>164680.44999999995</v>
          </cell>
          <cell r="I29" t="str">
            <v xml:space="preserve">Accounts receivable </v>
          </cell>
        </row>
        <row r="30">
          <cell r="H30">
            <v>-7.2200000000011642</v>
          </cell>
          <cell r="I30" t="str">
            <v xml:space="preserve">Accounts receivable </v>
          </cell>
        </row>
        <row r="31">
          <cell r="H31">
            <v>-6880</v>
          </cell>
          <cell r="I31" t="str">
            <v xml:space="preserve">Accounts receivable </v>
          </cell>
        </row>
        <row r="32">
          <cell r="H32">
            <v>0</v>
          </cell>
          <cell r="I32" t="str">
            <v xml:space="preserve">Accounts receivable </v>
          </cell>
        </row>
        <row r="33">
          <cell r="H33">
            <v>2099.9500000000007</v>
          </cell>
          <cell r="I33" t="str">
            <v xml:space="preserve">Accounts receivable </v>
          </cell>
        </row>
        <row r="34">
          <cell r="H34">
            <v>1752.75</v>
          </cell>
          <cell r="I34" t="str">
            <v xml:space="preserve">Accounts receivable </v>
          </cell>
        </row>
        <row r="35">
          <cell r="H35">
            <v>-0.20000000000004547</v>
          </cell>
          <cell r="I35" t="str">
            <v xml:space="preserve">Accounts receivable </v>
          </cell>
        </row>
        <row r="36">
          <cell r="H36">
            <v>5890.58</v>
          </cell>
          <cell r="I36" t="str">
            <v xml:space="preserve">Accounts receivable </v>
          </cell>
        </row>
        <row r="37">
          <cell r="H37">
            <v>251780.95</v>
          </cell>
          <cell r="I37" t="str">
            <v xml:space="preserve">Accounts receivable </v>
          </cell>
        </row>
        <row r="38">
          <cell r="H38">
            <v>0</v>
          </cell>
          <cell r="I38" t="str">
            <v xml:space="preserve">Accounts receivable </v>
          </cell>
        </row>
        <row r="39">
          <cell r="H39">
            <v>10286.820000000007</v>
          </cell>
          <cell r="I39" t="str">
            <v xml:space="preserve">Accounts receivable </v>
          </cell>
        </row>
        <row r="40">
          <cell r="H40">
            <v>88905.1</v>
          </cell>
          <cell r="I40" t="str">
            <v xml:space="preserve">Accounts receivable </v>
          </cell>
        </row>
        <row r="41">
          <cell r="H41">
            <v>0.75</v>
          </cell>
          <cell r="I41" t="str">
            <v xml:space="preserve">Accounts receivable </v>
          </cell>
        </row>
        <row r="42">
          <cell r="H42">
            <v>6963.5599999999977</v>
          </cell>
          <cell r="I42" t="str">
            <v xml:space="preserve">Accounts receivable </v>
          </cell>
        </row>
        <row r="43">
          <cell r="H43">
            <v>2.8999999999941792</v>
          </cell>
          <cell r="I43" t="str">
            <v xml:space="preserve">Accounts receivable </v>
          </cell>
        </row>
        <row r="44">
          <cell r="H44">
            <v>0.31999999999970896</v>
          </cell>
          <cell r="I44" t="str">
            <v xml:space="preserve">Accounts receivable </v>
          </cell>
        </row>
        <row r="45">
          <cell r="H45">
            <v>-0.5</v>
          </cell>
          <cell r="I45" t="str">
            <v xml:space="preserve">Accounts receivable </v>
          </cell>
        </row>
        <row r="46">
          <cell r="H46">
            <v>17010.309999999998</v>
          </cell>
          <cell r="I46" t="str">
            <v xml:space="preserve">Accounts receivable </v>
          </cell>
        </row>
        <row r="47">
          <cell r="H47">
            <v>7452</v>
          </cell>
          <cell r="I47" t="str">
            <v xml:space="preserve">Accounts receivable </v>
          </cell>
        </row>
        <row r="48">
          <cell r="H48">
            <v>-64.599999999998545</v>
          </cell>
          <cell r="I48" t="str">
            <v xml:space="preserve">Accounts receivable </v>
          </cell>
        </row>
        <row r="49">
          <cell r="H49">
            <v>5665.5</v>
          </cell>
          <cell r="I49" t="str">
            <v xml:space="preserve">Accounts receivable </v>
          </cell>
        </row>
        <row r="50">
          <cell r="H50">
            <v>124163.53</v>
          </cell>
          <cell r="I50" t="str">
            <v xml:space="preserve">Accounts receivable </v>
          </cell>
        </row>
        <row r="51">
          <cell r="H51">
            <v>77354.409999999916</v>
          </cell>
          <cell r="I51" t="str">
            <v xml:space="preserve">Accounts receivable </v>
          </cell>
        </row>
        <row r="52">
          <cell r="H52">
            <v>0.68000000000029104</v>
          </cell>
          <cell r="I52" t="str">
            <v xml:space="preserve">Accounts receivable </v>
          </cell>
        </row>
        <row r="53">
          <cell r="H53">
            <v>-1.1999999999998181</v>
          </cell>
          <cell r="I53" t="str">
            <v xml:space="preserve">Accounts receivable </v>
          </cell>
        </row>
        <row r="54">
          <cell r="H54">
            <v>68729</v>
          </cell>
          <cell r="I54" t="str">
            <v xml:space="preserve">Accounts receivable </v>
          </cell>
        </row>
        <row r="55">
          <cell r="H55">
            <v>-2</v>
          </cell>
          <cell r="I55" t="str">
            <v xml:space="preserve">Accounts receivable </v>
          </cell>
        </row>
        <row r="56">
          <cell r="H56">
            <v>32318.850000000006</v>
          </cell>
          <cell r="I56" t="str">
            <v xml:space="preserve">Accounts receivable </v>
          </cell>
        </row>
        <row r="57">
          <cell r="H57">
            <v>0</v>
          </cell>
          <cell r="I57" t="str">
            <v xml:space="preserve">Accounts receivable </v>
          </cell>
        </row>
        <row r="58">
          <cell r="H58">
            <v>21763.669999999984</v>
          </cell>
          <cell r="I58" t="str">
            <v xml:space="preserve">Accounts receivable </v>
          </cell>
        </row>
        <row r="59">
          <cell r="H59">
            <v>-2664.55</v>
          </cell>
          <cell r="I59" t="str">
            <v xml:space="preserve">Accounts receivable </v>
          </cell>
        </row>
        <row r="60">
          <cell r="H60">
            <v>0.34999999999854481</v>
          </cell>
          <cell r="I60" t="str">
            <v xml:space="preserve">Accounts receivable </v>
          </cell>
        </row>
        <row r="61">
          <cell r="H61">
            <v>2.930000000000291</v>
          </cell>
          <cell r="I61" t="str">
            <v xml:space="preserve">Accounts receivable </v>
          </cell>
        </row>
        <row r="62">
          <cell r="H62">
            <v>29883.359999999986</v>
          </cell>
          <cell r="I62" t="str">
            <v xml:space="preserve">Accounts receivable </v>
          </cell>
        </row>
        <row r="63">
          <cell r="H63">
            <v>324.95000000000073</v>
          </cell>
          <cell r="I63" t="str">
            <v xml:space="preserve">Accounts receivable </v>
          </cell>
        </row>
        <row r="64">
          <cell r="H64">
            <v>0</v>
          </cell>
          <cell r="I64" t="str">
            <v xml:space="preserve">Accounts receivable </v>
          </cell>
        </row>
        <row r="65">
          <cell r="H65">
            <v>44238.47</v>
          </cell>
          <cell r="I65" t="str">
            <v xml:space="preserve">Accounts receivable </v>
          </cell>
        </row>
        <row r="66">
          <cell r="H66">
            <v>0.1000000000003638</v>
          </cell>
          <cell r="I66" t="str">
            <v xml:space="preserve">Accounts receivable </v>
          </cell>
        </row>
        <row r="67">
          <cell r="H67">
            <v>0.5</v>
          </cell>
          <cell r="I67" t="str">
            <v xml:space="preserve">Accounts receivable </v>
          </cell>
        </row>
        <row r="68">
          <cell r="H68">
            <v>1165.3800000000001</v>
          </cell>
          <cell r="I68" t="str">
            <v xml:space="preserve">Accounts receivable </v>
          </cell>
        </row>
        <row r="69">
          <cell r="H69">
            <v>0</v>
          </cell>
          <cell r="I69" t="str">
            <v xml:space="preserve">Accounts receivable </v>
          </cell>
        </row>
        <row r="70">
          <cell r="H70">
            <v>-746.90000000000009</v>
          </cell>
          <cell r="I70" t="str">
            <v xml:space="preserve">Accounts receivable </v>
          </cell>
        </row>
        <row r="71">
          <cell r="H71">
            <v>-500614.73000000004</v>
          </cell>
          <cell r="I71" t="str">
            <v>Short term debt receivable from RP</v>
          </cell>
        </row>
        <row r="72">
          <cell r="H72">
            <v>17974</v>
          </cell>
          <cell r="I72" t="str">
            <v xml:space="preserve">Accounts receivable </v>
          </cell>
        </row>
        <row r="73">
          <cell r="H73">
            <v>-651192.1</v>
          </cell>
          <cell r="I73" t="str">
            <v>Short term debt receivable from RP</v>
          </cell>
        </row>
        <row r="74">
          <cell r="H74">
            <v>535816.43000000005</v>
          </cell>
          <cell r="I74" t="str">
            <v>Short term debt receivable from RP</v>
          </cell>
        </row>
        <row r="75">
          <cell r="H75">
            <v>0.5</v>
          </cell>
          <cell r="I75" t="str">
            <v xml:space="preserve">Accounts receivable </v>
          </cell>
        </row>
        <row r="76">
          <cell r="H76">
            <v>6.0000000000002274E-2</v>
          </cell>
          <cell r="I76" t="str">
            <v xml:space="preserve">Accounts receivable </v>
          </cell>
        </row>
        <row r="77">
          <cell r="H77">
            <v>1.999999999998181E-2</v>
          </cell>
          <cell r="I77" t="str">
            <v xml:space="preserve">Accounts receivable </v>
          </cell>
        </row>
        <row r="78">
          <cell r="H78">
            <v>0.1999999999998181</v>
          </cell>
          <cell r="I78" t="str">
            <v xml:space="preserve">Accounts receivable </v>
          </cell>
        </row>
        <row r="79">
          <cell r="H79">
            <v>0</v>
          </cell>
          <cell r="I79" t="str">
            <v xml:space="preserve">Accounts receivable </v>
          </cell>
        </row>
        <row r="80">
          <cell r="H80">
            <v>0.60000000000002274</v>
          </cell>
          <cell r="I80" t="str">
            <v xml:space="preserve">Accounts receivable </v>
          </cell>
        </row>
        <row r="81">
          <cell r="H81">
            <v>2664.5500000000029</v>
          </cell>
          <cell r="I81" t="str">
            <v xml:space="preserve">Accounts receivable </v>
          </cell>
        </row>
        <row r="82">
          <cell r="H82">
            <v>0</v>
          </cell>
        </row>
        <row r="83">
          <cell r="H83">
            <v>236150.80000000005</v>
          </cell>
          <cell r="I83" t="str">
            <v xml:space="preserve">Other current assets </v>
          </cell>
        </row>
        <row r="84">
          <cell r="H84">
            <v>-203626.25999999978</v>
          </cell>
          <cell r="I84" t="str">
            <v xml:space="preserve">Other current assets </v>
          </cell>
        </row>
        <row r="85">
          <cell r="H85">
            <v>2151.0400000000091</v>
          </cell>
          <cell r="I85" t="str">
            <v xml:space="preserve">Other current assets </v>
          </cell>
        </row>
        <row r="86">
          <cell r="H86">
            <v>235.17</v>
          </cell>
          <cell r="I86" t="str">
            <v xml:space="preserve">Other current assets </v>
          </cell>
        </row>
        <row r="87">
          <cell r="H87">
            <v>395.41000000000349</v>
          </cell>
          <cell r="I87" t="str">
            <v xml:space="preserve">Other current assets </v>
          </cell>
        </row>
        <row r="88">
          <cell r="H88">
            <v>0</v>
          </cell>
          <cell r="I88" t="str">
            <v>Prepayments and other receivables</v>
          </cell>
        </row>
        <row r="89">
          <cell r="H89">
            <v>30413.050000000003</v>
          </cell>
          <cell r="I89" t="str">
            <v>Prepayments and other receivables</v>
          </cell>
        </row>
        <row r="90">
          <cell r="H90">
            <v>108514.90999999999</v>
          </cell>
          <cell r="I90" t="str">
            <v>Prepayments and other receivables</v>
          </cell>
        </row>
        <row r="91">
          <cell r="H91">
            <v>6900.670000000001</v>
          </cell>
          <cell r="I91" t="str">
            <v>Prepayments and other receivables</v>
          </cell>
        </row>
        <row r="92">
          <cell r="H92">
            <v>0</v>
          </cell>
          <cell r="I92" t="str">
            <v>Prepayments and other receivables</v>
          </cell>
        </row>
        <row r="93">
          <cell r="H93">
            <v>-7492.63</v>
          </cell>
          <cell r="I93" t="str">
            <v>Prepayments and other receivables</v>
          </cell>
        </row>
        <row r="94">
          <cell r="H94">
            <v>0</v>
          </cell>
          <cell r="I94" t="str">
            <v xml:space="preserve">Other current assets </v>
          </cell>
        </row>
        <row r="95">
          <cell r="H95">
            <v>0</v>
          </cell>
          <cell r="I95" t="str">
            <v xml:space="preserve">Other current assets </v>
          </cell>
        </row>
        <row r="96">
          <cell r="H96">
            <v>0</v>
          </cell>
          <cell r="I96" t="str">
            <v xml:space="preserve">Other current assets </v>
          </cell>
        </row>
        <row r="97">
          <cell r="H97">
            <v>110756.01000000001</v>
          </cell>
          <cell r="I97" t="str">
            <v xml:space="preserve">Other current assets </v>
          </cell>
        </row>
        <row r="98">
          <cell r="H98">
            <v>104098.21</v>
          </cell>
          <cell r="I98" t="str">
            <v xml:space="preserve">Other current assets </v>
          </cell>
        </row>
        <row r="99">
          <cell r="H99">
            <v>0</v>
          </cell>
          <cell r="I99" t="str">
            <v xml:space="preserve">Other current assets </v>
          </cell>
        </row>
        <row r="100">
          <cell r="H100">
            <v>0</v>
          </cell>
          <cell r="I100" t="str">
            <v xml:space="preserve">Other current assets </v>
          </cell>
        </row>
        <row r="101">
          <cell r="H101">
            <v>0</v>
          </cell>
          <cell r="I101" t="str">
            <v xml:space="preserve">Other current assets </v>
          </cell>
        </row>
        <row r="102">
          <cell r="H102">
            <v>0</v>
          </cell>
          <cell r="I102" t="str">
            <v xml:space="preserve">Other current assets </v>
          </cell>
        </row>
        <row r="103">
          <cell r="H103">
            <v>-7705.5299999999988</v>
          </cell>
          <cell r="I103" t="str">
            <v xml:space="preserve">Other current assets </v>
          </cell>
        </row>
        <row r="104">
          <cell r="H104">
            <v>9400</v>
          </cell>
          <cell r="I104" t="str">
            <v xml:space="preserve">Other current assets </v>
          </cell>
        </row>
        <row r="105">
          <cell r="H105">
            <v>-7874</v>
          </cell>
          <cell r="I105" t="str">
            <v xml:space="preserve">Other current assets </v>
          </cell>
        </row>
        <row r="106">
          <cell r="H106">
            <v>81540.33</v>
          </cell>
          <cell r="I106" t="str">
            <v xml:space="preserve">Other current assets </v>
          </cell>
        </row>
        <row r="107">
          <cell r="H107">
            <v>0</v>
          </cell>
          <cell r="I107" t="str">
            <v xml:space="preserve">Other current assets </v>
          </cell>
        </row>
        <row r="108">
          <cell r="H108">
            <v>0</v>
          </cell>
          <cell r="I108" t="str">
            <v xml:space="preserve">Other current assets </v>
          </cell>
        </row>
        <row r="109">
          <cell r="H109">
            <v>0</v>
          </cell>
          <cell r="I109" t="str">
            <v xml:space="preserve">Other current assets </v>
          </cell>
        </row>
        <row r="110">
          <cell r="H110">
            <v>2867</v>
          </cell>
          <cell r="I110" t="str">
            <v xml:space="preserve">Other current assets </v>
          </cell>
        </row>
        <row r="111">
          <cell r="H111">
            <v>0</v>
          </cell>
          <cell r="I111" t="str">
            <v xml:space="preserve">Other current assets </v>
          </cell>
        </row>
        <row r="112">
          <cell r="H112">
            <v>0</v>
          </cell>
          <cell r="I112" t="str">
            <v xml:space="preserve">Other current assets </v>
          </cell>
        </row>
        <row r="113">
          <cell r="H113">
            <v>0</v>
          </cell>
          <cell r="I113" t="str">
            <v xml:space="preserve">Other current assets </v>
          </cell>
        </row>
        <row r="114">
          <cell r="H114">
            <v>-49738.989999999991</v>
          </cell>
          <cell r="I114" t="str">
            <v xml:space="preserve">Other current assets </v>
          </cell>
        </row>
        <row r="115">
          <cell r="H115">
            <v>18636.900000000023</v>
          </cell>
          <cell r="I115" t="str">
            <v xml:space="preserve">Other current assets </v>
          </cell>
        </row>
        <row r="116">
          <cell r="H116">
            <v>0</v>
          </cell>
          <cell r="I116" t="str">
            <v xml:space="preserve">Other current assets </v>
          </cell>
        </row>
        <row r="117">
          <cell r="H117">
            <v>0</v>
          </cell>
          <cell r="I117" t="str">
            <v xml:space="preserve">Other current assets </v>
          </cell>
        </row>
        <row r="118">
          <cell r="H118">
            <v>12420</v>
          </cell>
          <cell r="I118" t="str">
            <v xml:space="preserve">Other current assets </v>
          </cell>
        </row>
        <row r="119">
          <cell r="H119">
            <v>-19323.2</v>
          </cell>
          <cell r="I119" t="str">
            <v xml:space="preserve">Other current assets </v>
          </cell>
        </row>
        <row r="120">
          <cell r="H120">
            <v>650000</v>
          </cell>
          <cell r="I120" t="str">
            <v xml:space="preserve">Other current assets </v>
          </cell>
        </row>
        <row r="121">
          <cell r="H121">
            <v>200</v>
          </cell>
          <cell r="I121" t="str">
            <v xml:space="preserve">Other current assets </v>
          </cell>
        </row>
        <row r="122">
          <cell r="H122">
            <v>0</v>
          </cell>
        </row>
        <row r="123">
          <cell r="H123">
            <v>1356274.5900000003</v>
          </cell>
          <cell r="I123" t="str">
            <v>Inventories</v>
          </cell>
        </row>
        <row r="124">
          <cell r="H124">
            <v>-363389.20000000112</v>
          </cell>
          <cell r="I124" t="str">
            <v>Inventories</v>
          </cell>
        </row>
        <row r="125">
          <cell r="H125">
            <v>0</v>
          </cell>
          <cell r="I125" t="str">
            <v>Inventories</v>
          </cell>
        </row>
        <row r="126">
          <cell r="H126">
            <v>0</v>
          </cell>
        </row>
        <row r="127">
          <cell r="H127">
            <v>1037924.8699999999</v>
          </cell>
          <cell r="I127" t="str">
            <v>Property, plant and equipment</v>
          </cell>
        </row>
        <row r="128">
          <cell r="H128">
            <v>51021.8</v>
          </cell>
          <cell r="I128" t="str">
            <v>Property, plant and equipment</v>
          </cell>
        </row>
        <row r="129">
          <cell r="H129">
            <v>5109.13</v>
          </cell>
          <cell r="I129" t="str">
            <v>Property, plant and equipment</v>
          </cell>
        </row>
        <row r="130">
          <cell r="H130">
            <v>88500</v>
          </cell>
          <cell r="I130" t="str">
            <v>Property, plant and equipment</v>
          </cell>
        </row>
        <row r="131">
          <cell r="H131">
            <v>40000</v>
          </cell>
          <cell r="I131" t="str">
            <v>Property, plant and equipment</v>
          </cell>
        </row>
        <row r="132">
          <cell r="H132">
            <v>0</v>
          </cell>
          <cell r="I132" t="str">
            <v>Property, plant and equipment</v>
          </cell>
        </row>
        <row r="133">
          <cell r="H133">
            <v>-53505.71</v>
          </cell>
          <cell r="I133" t="str">
            <v>Property, plant and equipment</v>
          </cell>
        </row>
        <row r="134">
          <cell r="H134">
            <v>-4303.32</v>
          </cell>
          <cell r="I134" t="str">
            <v>Property, plant and equipment</v>
          </cell>
        </row>
        <row r="135">
          <cell r="H135">
            <v>-33359.54</v>
          </cell>
          <cell r="I135" t="str">
            <v>Property, plant and equipment</v>
          </cell>
        </row>
        <row r="136">
          <cell r="H136">
            <v>-409.18</v>
          </cell>
          <cell r="I136" t="str">
            <v>Property, plant and equipment</v>
          </cell>
        </row>
        <row r="137">
          <cell r="H137">
            <v>-28603.55</v>
          </cell>
          <cell r="I137" t="str">
            <v>Property, plant and equipment</v>
          </cell>
        </row>
        <row r="138">
          <cell r="H138">
            <v>-2297.83</v>
          </cell>
          <cell r="I138" t="str">
            <v>Property, plant and equipment</v>
          </cell>
        </row>
        <row r="139">
          <cell r="H139">
            <v>-263.93</v>
          </cell>
          <cell r="I139" t="str">
            <v>Property, plant and equipment</v>
          </cell>
        </row>
        <row r="140">
          <cell r="H140">
            <v>0</v>
          </cell>
          <cell r="I140" t="str">
            <v>Property, plant and equipment</v>
          </cell>
        </row>
        <row r="141">
          <cell r="H141">
            <v>941.85000000000582</v>
          </cell>
          <cell r="I141" t="str">
            <v xml:space="preserve">Trade and other payables </v>
          </cell>
        </row>
        <row r="142">
          <cell r="H142">
            <v>-121.8799999999992</v>
          </cell>
          <cell r="I142" t="str">
            <v xml:space="preserve">Trade and other payables </v>
          </cell>
        </row>
        <row r="143">
          <cell r="H143">
            <v>100000</v>
          </cell>
          <cell r="I143" t="str">
            <v xml:space="preserve">Trade and other payables </v>
          </cell>
        </row>
        <row r="144">
          <cell r="H144">
            <v>264098.88</v>
          </cell>
          <cell r="I144" t="str">
            <v xml:space="preserve">Trade and other payables </v>
          </cell>
        </row>
        <row r="145">
          <cell r="H145">
            <v>-415.5</v>
          </cell>
          <cell r="I145" t="str">
            <v xml:space="preserve">Trade and other payables </v>
          </cell>
        </row>
        <row r="146">
          <cell r="H146">
            <v>0</v>
          </cell>
          <cell r="I146" t="str">
            <v xml:space="preserve">Trade and other payables </v>
          </cell>
        </row>
        <row r="147">
          <cell r="H147">
            <v>0</v>
          </cell>
          <cell r="I147" t="str">
            <v xml:space="preserve">Trade and other payables </v>
          </cell>
        </row>
        <row r="148">
          <cell r="H148">
            <v>-1131.6800000000003</v>
          </cell>
          <cell r="I148" t="str">
            <v xml:space="preserve">Trade and other payables </v>
          </cell>
        </row>
        <row r="149">
          <cell r="H149">
            <v>0</v>
          </cell>
          <cell r="I149" t="str">
            <v xml:space="preserve">Trade and other payables </v>
          </cell>
        </row>
        <row r="150">
          <cell r="H150">
            <v>-1393740.33</v>
          </cell>
          <cell r="I150" t="str">
            <v>Short term debt receivable from RP</v>
          </cell>
        </row>
        <row r="151">
          <cell r="H151">
            <v>0</v>
          </cell>
          <cell r="I151" t="str">
            <v xml:space="preserve">Trade and other payables </v>
          </cell>
        </row>
        <row r="152">
          <cell r="H152">
            <v>0.25</v>
          </cell>
          <cell r="I152" t="str">
            <v xml:space="preserve">Trade and other payables </v>
          </cell>
        </row>
        <row r="153">
          <cell r="H153">
            <v>0.10000000000218279</v>
          </cell>
          <cell r="I153" t="str">
            <v xml:space="preserve">Trade and other payables </v>
          </cell>
        </row>
        <row r="154">
          <cell r="H154">
            <v>-1640</v>
          </cell>
          <cell r="I154" t="str">
            <v xml:space="preserve">Trade and other payables </v>
          </cell>
        </row>
        <row r="155">
          <cell r="H155">
            <v>-0.25</v>
          </cell>
          <cell r="I155" t="str">
            <v xml:space="preserve">Trade and other payables </v>
          </cell>
        </row>
        <row r="156">
          <cell r="H156">
            <v>0</v>
          </cell>
          <cell r="I156" t="str">
            <v xml:space="preserve">Trade and other payables </v>
          </cell>
        </row>
        <row r="157">
          <cell r="H157">
            <v>-43498.5</v>
          </cell>
          <cell r="I157" t="str">
            <v xml:space="preserve">Trade and other payables </v>
          </cell>
        </row>
        <row r="158">
          <cell r="H158">
            <v>0</v>
          </cell>
          <cell r="I158" t="str">
            <v xml:space="preserve">Trade and other payables </v>
          </cell>
        </row>
        <row r="159">
          <cell r="H159">
            <v>-35775.4</v>
          </cell>
          <cell r="I159" t="str">
            <v xml:space="preserve">Trade and other payables </v>
          </cell>
        </row>
        <row r="160">
          <cell r="H160">
            <v>-1125324.2899999998</v>
          </cell>
          <cell r="I160" t="str">
            <v xml:space="preserve">Trade and other payables </v>
          </cell>
        </row>
        <row r="161">
          <cell r="H161">
            <v>-23601.460000000006</v>
          </cell>
          <cell r="I161" t="str">
            <v xml:space="preserve">Trade and other payables </v>
          </cell>
        </row>
        <row r="162">
          <cell r="H162">
            <v>-2530.5699999999997</v>
          </cell>
          <cell r="I162" t="str">
            <v xml:space="preserve">Trade and other payables </v>
          </cell>
        </row>
        <row r="163">
          <cell r="H163">
            <v>-187995.2</v>
          </cell>
          <cell r="I163" t="str">
            <v xml:space="preserve">Trade and other payables </v>
          </cell>
        </row>
        <row r="164">
          <cell r="H164">
            <v>-301.38</v>
          </cell>
          <cell r="I164" t="str">
            <v xml:space="preserve">Trade and other payables </v>
          </cell>
        </row>
        <row r="165">
          <cell r="H165">
            <v>-0.2999999999992724</v>
          </cell>
          <cell r="I165" t="str">
            <v xml:space="preserve">Trade and other payables </v>
          </cell>
        </row>
        <row r="166">
          <cell r="H166">
            <v>50285.66</v>
          </cell>
          <cell r="I166" t="str">
            <v xml:space="preserve">Trade and other payables </v>
          </cell>
        </row>
        <row r="167">
          <cell r="H167">
            <v>0</v>
          </cell>
          <cell r="I167" t="str">
            <v xml:space="preserve">Trade and other payables </v>
          </cell>
        </row>
        <row r="168">
          <cell r="H168">
            <v>0</v>
          </cell>
          <cell r="I168" t="str">
            <v xml:space="preserve">Trade and other payables </v>
          </cell>
        </row>
        <row r="169">
          <cell r="H169">
            <v>-50285.66</v>
          </cell>
          <cell r="I169" t="str">
            <v xml:space="preserve">Trade and other payables </v>
          </cell>
        </row>
        <row r="170">
          <cell r="H170">
            <v>-90</v>
          </cell>
          <cell r="I170" t="str">
            <v xml:space="preserve">Trade and other payables </v>
          </cell>
        </row>
        <row r="171">
          <cell r="H171">
            <v>0</v>
          </cell>
          <cell r="I171" t="str">
            <v xml:space="preserve">Trade and other payables </v>
          </cell>
        </row>
        <row r="172">
          <cell r="H172">
            <v>0</v>
          </cell>
          <cell r="I172" t="str">
            <v xml:space="preserve">Trade and other payables </v>
          </cell>
        </row>
        <row r="173">
          <cell r="H173">
            <v>0</v>
          </cell>
          <cell r="I173" t="str">
            <v xml:space="preserve">Trade and other payables </v>
          </cell>
        </row>
        <row r="174">
          <cell r="H174">
            <v>0</v>
          </cell>
          <cell r="I174" t="str">
            <v xml:space="preserve">Trade and other payables </v>
          </cell>
        </row>
        <row r="175">
          <cell r="H175">
            <v>-1.4000000000014552</v>
          </cell>
          <cell r="I175" t="str">
            <v xml:space="preserve">Trade and other payables </v>
          </cell>
        </row>
        <row r="176">
          <cell r="H176">
            <v>0</v>
          </cell>
          <cell r="I176" t="str">
            <v xml:space="preserve">Trade and other payables </v>
          </cell>
        </row>
        <row r="177">
          <cell r="H177">
            <v>-481309.19</v>
          </cell>
          <cell r="I177" t="str">
            <v xml:space="preserve">Trade and other payables </v>
          </cell>
        </row>
        <row r="178">
          <cell r="H178">
            <v>469350.20000000019</v>
          </cell>
          <cell r="I178" t="str">
            <v xml:space="preserve">Trade and other payables </v>
          </cell>
        </row>
        <row r="179">
          <cell r="H179">
            <v>0</v>
          </cell>
          <cell r="I179" t="str">
            <v xml:space="preserve">Trade and other payables </v>
          </cell>
        </row>
        <row r="180">
          <cell r="H180">
            <v>20945.27</v>
          </cell>
          <cell r="I180" t="str">
            <v xml:space="preserve">Trade and other payables </v>
          </cell>
        </row>
        <row r="181">
          <cell r="H181">
            <v>-0.25</v>
          </cell>
          <cell r="I181" t="str">
            <v xml:space="preserve">Trade and other payables </v>
          </cell>
        </row>
        <row r="182">
          <cell r="H182">
            <v>-100081.95</v>
          </cell>
          <cell r="I182" t="str">
            <v xml:space="preserve">Trade and other payables </v>
          </cell>
        </row>
        <row r="183">
          <cell r="H183">
            <v>0</v>
          </cell>
          <cell r="I183" t="str">
            <v xml:space="preserve">Trade and other payables </v>
          </cell>
        </row>
        <row r="184">
          <cell r="H184">
            <v>-71000</v>
          </cell>
          <cell r="I184" t="str">
            <v xml:space="preserve">Trade and other payables </v>
          </cell>
        </row>
        <row r="185">
          <cell r="H185">
            <v>-374265.46</v>
          </cell>
          <cell r="I185" t="str">
            <v xml:space="preserve">Trade and other payables </v>
          </cell>
        </row>
        <row r="186">
          <cell r="H186">
            <v>0.3000000000001819</v>
          </cell>
          <cell r="I186" t="str">
            <v xml:space="preserve">Trade and other payables </v>
          </cell>
        </row>
        <row r="187">
          <cell r="H187">
            <v>0.3500000000003638</v>
          </cell>
          <cell r="I187" t="str">
            <v xml:space="preserve">Trade and other payables </v>
          </cell>
        </row>
        <row r="188">
          <cell r="H188">
            <v>-294973.39</v>
          </cell>
          <cell r="I188" t="str">
            <v xml:space="preserve">Trade and other payables </v>
          </cell>
        </row>
        <row r="189">
          <cell r="H189">
            <v>0</v>
          </cell>
          <cell r="I189" t="str">
            <v xml:space="preserve">Trade and other payables </v>
          </cell>
        </row>
        <row r="190">
          <cell r="H190">
            <v>0</v>
          </cell>
          <cell r="I190" t="str">
            <v xml:space="preserve">Trade and other payables </v>
          </cell>
        </row>
        <row r="191">
          <cell r="H191">
            <v>0</v>
          </cell>
          <cell r="I191" t="str">
            <v xml:space="preserve">Trade and other payables </v>
          </cell>
        </row>
        <row r="192">
          <cell r="H192">
            <v>-620839.53</v>
          </cell>
          <cell r="I192" t="str">
            <v xml:space="preserve">Trade and other payables </v>
          </cell>
        </row>
        <row r="193">
          <cell r="H193">
            <v>0</v>
          </cell>
        </row>
        <row r="194">
          <cell r="H194">
            <v>-142281.75</v>
          </cell>
          <cell r="I194" t="str">
            <v xml:space="preserve">Other liabilities </v>
          </cell>
        </row>
        <row r="195">
          <cell r="H195">
            <v>-6946</v>
          </cell>
          <cell r="I195" t="str">
            <v xml:space="preserve">Other liabilities </v>
          </cell>
        </row>
        <row r="196">
          <cell r="H196">
            <v>0</v>
          </cell>
          <cell r="I196" t="str">
            <v xml:space="preserve">Other liabilities </v>
          </cell>
        </row>
        <row r="197">
          <cell r="H197">
            <v>-24857.94</v>
          </cell>
          <cell r="I197" t="str">
            <v xml:space="preserve">Other liabilities </v>
          </cell>
        </row>
        <row r="198">
          <cell r="H198">
            <v>0</v>
          </cell>
          <cell r="I198" t="str">
            <v xml:space="preserve">Other liabilities </v>
          </cell>
        </row>
        <row r="199">
          <cell r="H199">
            <v>0</v>
          </cell>
          <cell r="I199" t="str">
            <v xml:space="preserve">Other liabilities </v>
          </cell>
        </row>
        <row r="200">
          <cell r="H200">
            <v>500000</v>
          </cell>
          <cell r="I200" t="str">
            <v>Short term debt receivable from RP</v>
          </cell>
        </row>
        <row r="201">
          <cell r="H201">
            <v>23339.47</v>
          </cell>
          <cell r="I201" t="str">
            <v xml:space="preserve">Other liabilities </v>
          </cell>
        </row>
        <row r="202">
          <cell r="H202">
            <v>0</v>
          </cell>
        </row>
        <row r="203">
          <cell r="H203">
            <v>-210548.34</v>
          </cell>
          <cell r="I203" t="str">
            <v xml:space="preserve">Trade and other payables </v>
          </cell>
        </row>
        <row r="204">
          <cell r="H204">
            <v>619611.39999999991</v>
          </cell>
          <cell r="I204" t="str">
            <v>Short term debt receivable from RP</v>
          </cell>
        </row>
        <row r="205">
          <cell r="H205">
            <v>223011.11</v>
          </cell>
          <cell r="I205" t="str">
            <v>Short term debt receivable from RP</v>
          </cell>
        </row>
        <row r="206">
          <cell r="H206">
            <v>-293769.52</v>
          </cell>
          <cell r="I206" t="str">
            <v xml:space="preserve">Trade and other payables </v>
          </cell>
        </row>
        <row r="207">
          <cell r="H207">
            <v>46023.86</v>
          </cell>
          <cell r="I207" t="str">
            <v xml:space="preserve">Other current assets </v>
          </cell>
        </row>
        <row r="208">
          <cell r="H208">
            <v>-300000</v>
          </cell>
          <cell r="I208" t="str">
            <v xml:space="preserve">Other liabilities </v>
          </cell>
        </row>
        <row r="209">
          <cell r="H209">
            <v>1335314.04</v>
          </cell>
          <cell r="I209" t="str">
            <v>Short term debt receivable from RP</v>
          </cell>
        </row>
        <row r="210">
          <cell r="H210">
            <v>-424595.28</v>
          </cell>
          <cell r="I210" t="str">
            <v xml:space="preserve">Trade and other payables </v>
          </cell>
        </row>
        <row r="211">
          <cell r="H211">
            <v>0</v>
          </cell>
        </row>
        <row r="212">
          <cell r="H212">
            <v>0</v>
          </cell>
          <cell r="I212" t="str">
            <v xml:space="preserve">Other liabilities </v>
          </cell>
        </row>
        <row r="213">
          <cell r="H213">
            <v>0</v>
          </cell>
        </row>
        <row r="214">
          <cell r="H214">
            <v>-66200</v>
          </cell>
          <cell r="I214" t="str">
            <v xml:space="preserve">Other liabilities </v>
          </cell>
        </row>
        <row r="215">
          <cell r="H215">
            <v>0</v>
          </cell>
        </row>
        <row r="216">
          <cell r="H216">
            <v>-77803.320000000007</v>
          </cell>
          <cell r="I216" t="str">
            <v xml:space="preserve">Other liabilities </v>
          </cell>
        </row>
        <row r="217">
          <cell r="H217">
            <v>-71798.42</v>
          </cell>
          <cell r="I217" t="str">
            <v xml:space="preserve">Other liabilities </v>
          </cell>
        </row>
        <row r="218">
          <cell r="H218">
            <v>0</v>
          </cell>
        </row>
        <row r="219">
          <cell r="H219">
            <v>-2100</v>
          </cell>
          <cell r="I219" t="str">
            <v xml:space="preserve">Other liabilities </v>
          </cell>
        </row>
        <row r="220">
          <cell r="H220">
            <v>-106757.3</v>
          </cell>
          <cell r="I220" t="str">
            <v xml:space="preserve">Trade and other payables </v>
          </cell>
        </row>
        <row r="221">
          <cell r="H221">
            <v>0</v>
          </cell>
        </row>
        <row r="222">
          <cell r="H222">
            <v>-359740.9</v>
          </cell>
          <cell r="I222" t="str">
            <v>Employees' end of service benefits</v>
          </cell>
        </row>
        <row r="223">
          <cell r="H223">
            <v>0</v>
          </cell>
        </row>
        <row r="224">
          <cell r="H224">
            <v>-135088.68999999994</v>
          </cell>
          <cell r="I224" t="str">
            <v>Owner Contribution</v>
          </cell>
        </row>
        <row r="225">
          <cell r="H225">
            <v>61378.52</v>
          </cell>
          <cell r="I225" t="str">
            <v>Retained Earnings</v>
          </cell>
        </row>
        <row r="226">
          <cell r="H226">
            <v>0</v>
          </cell>
        </row>
        <row r="227">
          <cell r="H227">
            <v>-5925942.9299999997</v>
          </cell>
          <cell r="I227" t="str">
            <v>Current Year Profit (Loss)</v>
          </cell>
        </row>
        <row r="228">
          <cell r="H228">
            <v>-1246864.6200000001</v>
          </cell>
          <cell r="I228" t="str">
            <v>Current Year Profit (Loss)</v>
          </cell>
        </row>
        <row r="229">
          <cell r="H229">
            <v>0</v>
          </cell>
          <cell r="I229" t="str">
            <v>Current Year Profit (Loss)</v>
          </cell>
        </row>
        <row r="230">
          <cell r="H230">
            <v>0</v>
          </cell>
          <cell r="I230" t="str">
            <v>Current Year Profit (Loss)</v>
          </cell>
        </row>
        <row r="231">
          <cell r="H231">
            <v>2249</v>
          </cell>
          <cell r="I231" t="str">
            <v>Current Year Profit (Loss)</v>
          </cell>
        </row>
        <row r="232">
          <cell r="H232">
            <v>980</v>
          </cell>
          <cell r="I232" t="str">
            <v>Current Year Profit (Loss)</v>
          </cell>
        </row>
        <row r="233">
          <cell r="H233">
            <v>1115</v>
          </cell>
          <cell r="I233" t="str">
            <v>Current Year Profit (Loss)</v>
          </cell>
        </row>
        <row r="234">
          <cell r="H234">
            <v>28081</v>
          </cell>
          <cell r="I234" t="str">
            <v>Current Year Profit (Loss)</v>
          </cell>
        </row>
        <row r="235">
          <cell r="H235">
            <v>100840</v>
          </cell>
          <cell r="I235" t="str">
            <v>Current Year Profit (Loss)</v>
          </cell>
        </row>
        <row r="236">
          <cell r="H236">
            <v>3204.7000000000007</v>
          </cell>
          <cell r="I236" t="str">
            <v>Current Year Profit (Loss)</v>
          </cell>
        </row>
        <row r="237">
          <cell r="H237">
            <v>4082440.3200000012</v>
          </cell>
          <cell r="I237" t="str">
            <v>Current Year Profit (Loss)</v>
          </cell>
        </row>
        <row r="238">
          <cell r="H238">
            <v>33569.919999999998</v>
          </cell>
          <cell r="I238" t="str">
            <v>Current Year Profit (Loss)</v>
          </cell>
        </row>
        <row r="239">
          <cell r="H239">
            <v>-156292.15</v>
          </cell>
          <cell r="I239" t="str">
            <v>Current Year Profit (Loss)</v>
          </cell>
        </row>
        <row r="240">
          <cell r="H240">
            <v>0</v>
          </cell>
          <cell r="I240" t="str">
            <v>Current Year Profit (Loss)</v>
          </cell>
        </row>
        <row r="241">
          <cell r="H241">
            <v>693689</v>
          </cell>
          <cell r="I241" t="str">
            <v>Current Year Profit (Loss)</v>
          </cell>
        </row>
        <row r="242">
          <cell r="H242">
            <v>55494</v>
          </cell>
          <cell r="I242" t="str">
            <v>Current Year Profit (Loss)</v>
          </cell>
        </row>
        <row r="243">
          <cell r="H243">
            <v>81157.08</v>
          </cell>
          <cell r="I243" t="str">
            <v>Current Year Profit (Loss)</v>
          </cell>
        </row>
        <row r="244">
          <cell r="H244">
            <v>16</v>
          </cell>
          <cell r="I244" t="str">
            <v>Current Year Profit (Loss)</v>
          </cell>
        </row>
        <row r="245">
          <cell r="H245">
            <v>26768.58</v>
          </cell>
          <cell r="I245" t="str">
            <v>Current Year Profit (Loss)</v>
          </cell>
        </row>
        <row r="246">
          <cell r="H246">
            <v>31711.5</v>
          </cell>
          <cell r="I246" t="str">
            <v>Current Year Profit (Loss)</v>
          </cell>
        </row>
        <row r="247">
          <cell r="H247">
            <v>42774</v>
          </cell>
          <cell r="I247" t="str">
            <v>Current Year Profit (Loss)</v>
          </cell>
        </row>
        <row r="248">
          <cell r="H248">
            <v>3256.25</v>
          </cell>
          <cell r="I248" t="str">
            <v>Current Year Profit (Loss)</v>
          </cell>
        </row>
        <row r="249">
          <cell r="H249">
            <v>1871.87</v>
          </cell>
          <cell r="I249" t="str">
            <v>Current Year Profit (Loss)</v>
          </cell>
        </row>
        <row r="250">
          <cell r="H250">
            <v>10000</v>
          </cell>
          <cell r="I250" t="str">
            <v>Current Year Profit (Loss)</v>
          </cell>
        </row>
        <row r="251">
          <cell r="H251">
            <v>110564.78</v>
          </cell>
          <cell r="I251" t="str">
            <v>Current Year Profit (Loss)</v>
          </cell>
        </row>
        <row r="252">
          <cell r="H252">
            <v>325</v>
          </cell>
          <cell r="I252" t="str">
            <v>Current Year Profit (Loss)</v>
          </cell>
        </row>
        <row r="253">
          <cell r="H253">
            <v>18600</v>
          </cell>
          <cell r="I253" t="str">
            <v>Current Year Profit (Loss)</v>
          </cell>
        </row>
        <row r="254">
          <cell r="H254">
            <v>1900</v>
          </cell>
          <cell r="I254" t="str">
            <v>Current Year Profit (Loss)</v>
          </cell>
        </row>
        <row r="255">
          <cell r="H255">
            <v>32677</v>
          </cell>
          <cell r="I255" t="str">
            <v>Current Year Profit (Loss)</v>
          </cell>
        </row>
        <row r="256">
          <cell r="H256">
            <v>0</v>
          </cell>
          <cell r="I256" t="str">
            <v>Current Year Profit (Loss)</v>
          </cell>
        </row>
        <row r="257">
          <cell r="H257">
            <v>5892.6</v>
          </cell>
          <cell r="I257" t="str">
            <v>Current Year Profit (Loss)</v>
          </cell>
        </row>
        <row r="258">
          <cell r="H258">
            <v>62730</v>
          </cell>
          <cell r="I258" t="str">
            <v>Current Year Profit (Loss)</v>
          </cell>
        </row>
        <row r="259">
          <cell r="H259">
            <v>1050</v>
          </cell>
          <cell r="I259" t="str">
            <v>Current Year Profit (Loss)</v>
          </cell>
        </row>
        <row r="260">
          <cell r="H260">
            <v>0</v>
          </cell>
          <cell r="I260" t="str">
            <v>Current Year Profit (Loss)</v>
          </cell>
        </row>
        <row r="261">
          <cell r="H261">
            <v>53505.71</v>
          </cell>
          <cell r="I261" t="str">
            <v>Current Year Profit (Loss)</v>
          </cell>
        </row>
        <row r="262">
          <cell r="H262">
            <v>409.18</v>
          </cell>
          <cell r="I262" t="str">
            <v>Current Year Profit (Loss)</v>
          </cell>
        </row>
        <row r="263">
          <cell r="H263">
            <v>28603.55</v>
          </cell>
          <cell r="I263" t="str">
            <v>Current Year Profit (Loss)</v>
          </cell>
        </row>
        <row r="264">
          <cell r="H264">
            <v>2297.83</v>
          </cell>
          <cell r="I264" t="str">
            <v>Current Year Profit (Loss)</v>
          </cell>
        </row>
        <row r="265">
          <cell r="H265">
            <v>33359.54</v>
          </cell>
          <cell r="I265" t="str">
            <v>Current Year Profit (Loss)</v>
          </cell>
        </row>
        <row r="266">
          <cell r="H266">
            <v>263.93</v>
          </cell>
          <cell r="I266" t="str">
            <v>Current Year Profit (Loss)</v>
          </cell>
        </row>
        <row r="267">
          <cell r="H267">
            <v>4303.32</v>
          </cell>
          <cell r="I267" t="str">
            <v>Current Year Profit (Loss)</v>
          </cell>
        </row>
        <row r="268">
          <cell r="H268">
            <v>0</v>
          </cell>
          <cell r="I268" t="str">
            <v>Current Year Profit (Loss)</v>
          </cell>
        </row>
        <row r="269">
          <cell r="H269">
            <v>618.97</v>
          </cell>
          <cell r="I269" t="str">
            <v>Current Year Profit (Loss)</v>
          </cell>
        </row>
        <row r="270">
          <cell r="H270">
            <v>4124.78</v>
          </cell>
          <cell r="I270" t="str">
            <v>Current Year Profit (Loss)</v>
          </cell>
        </row>
        <row r="271">
          <cell r="H271">
            <v>1834.78</v>
          </cell>
          <cell r="I271" t="str">
            <v>Current Year Profit (Loss)</v>
          </cell>
        </row>
        <row r="272">
          <cell r="H272">
            <v>710.9</v>
          </cell>
          <cell r="I272" t="str">
            <v>Current Year Profit (Loss)</v>
          </cell>
        </row>
        <row r="273">
          <cell r="H273">
            <v>263.29000000000002</v>
          </cell>
          <cell r="I273" t="str">
            <v>Current Year Profit (Loss)</v>
          </cell>
        </row>
        <row r="274">
          <cell r="H274">
            <v>2062.23</v>
          </cell>
          <cell r="I274" t="str">
            <v>Current Year Profit (Loss)</v>
          </cell>
        </row>
        <row r="275">
          <cell r="H275">
            <v>5439.67</v>
          </cell>
          <cell r="I275" t="str">
            <v>Current Year Profit (Loss)</v>
          </cell>
        </row>
        <row r="276">
          <cell r="H276">
            <v>490</v>
          </cell>
          <cell r="I276" t="str">
            <v>Current Year Profit (Loss)</v>
          </cell>
        </row>
        <row r="277">
          <cell r="H277">
            <v>21630.98</v>
          </cell>
          <cell r="I277" t="str">
            <v>Current Year Profit (Loss)</v>
          </cell>
        </row>
        <row r="278">
          <cell r="H278">
            <v>16149.06</v>
          </cell>
          <cell r="I278" t="str">
            <v>Current Year Profit (Loss)</v>
          </cell>
        </row>
        <row r="279">
          <cell r="H279">
            <v>100</v>
          </cell>
          <cell r="I279" t="str">
            <v>Current Year Profit (Loss)</v>
          </cell>
        </row>
        <row r="280">
          <cell r="H280">
            <v>311.27</v>
          </cell>
          <cell r="I280" t="str">
            <v>Current Year Profit (Loss)</v>
          </cell>
        </row>
        <row r="281">
          <cell r="H281">
            <v>626</v>
          </cell>
          <cell r="I281" t="str">
            <v>Current Year Profit (Loss)</v>
          </cell>
        </row>
        <row r="282">
          <cell r="H282">
            <v>589.35</v>
          </cell>
          <cell r="I282" t="str">
            <v>Current Year Profit (Loss)</v>
          </cell>
        </row>
        <row r="283">
          <cell r="H283">
            <v>5358.48</v>
          </cell>
          <cell r="I283" t="str">
            <v>Current Year Profit (Loss)</v>
          </cell>
        </row>
        <row r="284">
          <cell r="H284">
            <v>420</v>
          </cell>
          <cell r="I284" t="str">
            <v>Current Year Profit (Loss)</v>
          </cell>
        </row>
        <row r="285">
          <cell r="H285">
            <v>530</v>
          </cell>
          <cell r="I285" t="str">
            <v>Current Year Profit (Loss)</v>
          </cell>
        </row>
        <row r="286">
          <cell r="H286">
            <v>158.04</v>
          </cell>
          <cell r="I286" t="str">
            <v>Current Year Profit (Loss)</v>
          </cell>
        </row>
        <row r="287">
          <cell r="H287">
            <v>2577.5</v>
          </cell>
          <cell r="I287" t="str">
            <v>Current Year Profit (Loss)</v>
          </cell>
        </row>
        <row r="288">
          <cell r="H288">
            <v>2000</v>
          </cell>
          <cell r="I288" t="str">
            <v>Current Year Profit (Loss)</v>
          </cell>
        </row>
        <row r="289">
          <cell r="H289">
            <v>9989.26</v>
          </cell>
          <cell r="I289" t="str">
            <v>Current Year Profit (Loss)</v>
          </cell>
        </row>
        <row r="290">
          <cell r="H290">
            <v>64</v>
          </cell>
          <cell r="I290" t="str">
            <v>Current Year Profit (Loss)</v>
          </cell>
        </row>
        <row r="291">
          <cell r="H291">
            <v>950</v>
          </cell>
          <cell r="I291" t="str">
            <v>Current Year Profit (Loss)</v>
          </cell>
        </row>
        <row r="292">
          <cell r="H292">
            <v>12685.35</v>
          </cell>
          <cell r="I292" t="str">
            <v>Current Year Profit (Loss)</v>
          </cell>
        </row>
        <row r="293">
          <cell r="H293">
            <v>3026.02</v>
          </cell>
          <cell r="I293" t="str">
            <v>Current Year Profit (Loss)</v>
          </cell>
        </row>
        <row r="294">
          <cell r="H294">
            <v>0</v>
          </cell>
          <cell r="I294" t="str">
            <v>Current Year Profit (Loss)</v>
          </cell>
        </row>
        <row r="295">
          <cell r="H295">
            <v>3028.96</v>
          </cell>
          <cell r="I295" t="str">
            <v>Current Year Profit (Loss)</v>
          </cell>
        </row>
        <row r="296">
          <cell r="H296">
            <v>6710</v>
          </cell>
          <cell r="I296" t="str">
            <v>Current Year Profit (Loss)</v>
          </cell>
        </row>
        <row r="297">
          <cell r="H297">
            <v>20</v>
          </cell>
          <cell r="I297" t="str">
            <v>Current Year Profit (Loss)</v>
          </cell>
        </row>
        <row r="298">
          <cell r="H298">
            <v>1974.04</v>
          </cell>
          <cell r="I298" t="str">
            <v>Current Year Profit (Loss)</v>
          </cell>
        </row>
        <row r="299">
          <cell r="H299">
            <v>90717.16</v>
          </cell>
          <cell r="I299" t="str">
            <v>Current Year Profit (Loss)</v>
          </cell>
        </row>
        <row r="300">
          <cell r="H300">
            <v>1921.66</v>
          </cell>
          <cell r="I300" t="str">
            <v>Current Year Profit (Loss)</v>
          </cell>
        </row>
        <row r="301">
          <cell r="H301">
            <v>784.16</v>
          </cell>
          <cell r="I301" t="str">
            <v>Current Year Profit (Loss)</v>
          </cell>
        </row>
        <row r="302">
          <cell r="H302">
            <v>170</v>
          </cell>
          <cell r="I302" t="str">
            <v>Current Year Profit (Loss)</v>
          </cell>
        </row>
        <row r="303">
          <cell r="H303">
            <v>0</v>
          </cell>
          <cell r="I303" t="str">
            <v>Current Year Profit (Loss)</v>
          </cell>
        </row>
        <row r="304">
          <cell r="H304">
            <v>333</v>
          </cell>
          <cell r="I304" t="str">
            <v>Current Year Profit (Loss)</v>
          </cell>
        </row>
        <row r="305">
          <cell r="H305">
            <v>13669.41</v>
          </cell>
          <cell r="I305" t="str">
            <v>Current Year Profit (Loss)</v>
          </cell>
        </row>
        <row r="306">
          <cell r="H306">
            <v>2261.89</v>
          </cell>
          <cell r="I306" t="str">
            <v>Current Year Profit (Loss)</v>
          </cell>
        </row>
        <row r="307">
          <cell r="H307">
            <v>2861.13</v>
          </cell>
          <cell r="I307" t="str">
            <v>Current Year Profit (Loss)</v>
          </cell>
        </row>
        <row r="308">
          <cell r="H308">
            <v>1930.67</v>
          </cell>
          <cell r="I308" t="str">
            <v>Current Year Profit (Loss)</v>
          </cell>
        </row>
        <row r="309">
          <cell r="H309">
            <v>1189.5999999999999</v>
          </cell>
          <cell r="I309" t="str">
            <v>Current Year Profit (Loss)</v>
          </cell>
        </row>
        <row r="310">
          <cell r="H310">
            <v>2910.52</v>
          </cell>
          <cell r="I310" t="str">
            <v>Current Year Profit (Loss)</v>
          </cell>
        </row>
        <row r="311">
          <cell r="H311">
            <v>6352.65</v>
          </cell>
          <cell r="I311" t="str">
            <v>Current Year Profit (Loss)</v>
          </cell>
        </row>
        <row r="312">
          <cell r="H312">
            <v>1377.05</v>
          </cell>
          <cell r="I312" t="str">
            <v>Current Year Profit (Loss)</v>
          </cell>
        </row>
        <row r="313">
          <cell r="H313">
            <v>1303.6199999999999</v>
          </cell>
          <cell r="I313" t="str">
            <v>Current Year Profit (Loss)</v>
          </cell>
        </row>
        <row r="314">
          <cell r="H314">
            <v>3247.99</v>
          </cell>
          <cell r="I314" t="str">
            <v>Current Year Profit (Loss)</v>
          </cell>
        </row>
        <row r="315">
          <cell r="H315">
            <v>2345.62</v>
          </cell>
          <cell r="I315" t="str">
            <v>Current Year Profit (Loss)</v>
          </cell>
        </row>
        <row r="316">
          <cell r="H316">
            <v>0</v>
          </cell>
          <cell r="I316" t="str">
            <v>Current Year Profit (Loss)</v>
          </cell>
        </row>
        <row r="317">
          <cell r="H317">
            <v>3943.2</v>
          </cell>
          <cell r="I317" t="str">
            <v>Current Year Profit (Loss)</v>
          </cell>
        </row>
        <row r="318">
          <cell r="H318">
            <v>3420</v>
          </cell>
          <cell r="I318" t="str">
            <v>Current Year Profit (Loss)</v>
          </cell>
        </row>
        <row r="319">
          <cell r="H319">
            <v>3500</v>
          </cell>
          <cell r="I319" t="str">
            <v>Current Year Profit (Loss)</v>
          </cell>
        </row>
        <row r="320">
          <cell r="H320">
            <v>77510.539999999994</v>
          </cell>
          <cell r="I320" t="str">
            <v>Current Year Profit (Loss)</v>
          </cell>
        </row>
        <row r="321">
          <cell r="H321">
            <v>0</v>
          </cell>
          <cell r="I321" t="str">
            <v>Current Year Profit (Loss)</v>
          </cell>
        </row>
        <row r="322">
          <cell r="H322">
            <v>421613.63</v>
          </cell>
          <cell r="I322" t="str">
            <v>Current Year Profit (Loss)</v>
          </cell>
        </row>
        <row r="323">
          <cell r="H323">
            <v>268691.71999999997</v>
          </cell>
          <cell r="I323" t="str">
            <v>Current Year Profit (Loss)</v>
          </cell>
        </row>
        <row r="324">
          <cell r="H324">
            <v>1859.18</v>
          </cell>
          <cell r="I324" t="str">
            <v>Current Year Profit (Loss)</v>
          </cell>
        </row>
        <row r="325">
          <cell r="H325">
            <v>612.5</v>
          </cell>
          <cell r="I325" t="str">
            <v>Current Year Profit (Loss)</v>
          </cell>
        </row>
        <row r="326">
          <cell r="H326">
            <v>3930</v>
          </cell>
          <cell r="I326" t="str">
            <v>Current Year Profit (Loss)</v>
          </cell>
        </row>
        <row r="327">
          <cell r="H327">
            <v>21173</v>
          </cell>
          <cell r="I327" t="str">
            <v>Current Year Profit (Loss)</v>
          </cell>
        </row>
        <row r="328">
          <cell r="H328">
            <v>1200</v>
          </cell>
          <cell r="I328" t="str">
            <v>Current Year Profit (Loss)</v>
          </cell>
        </row>
        <row r="329">
          <cell r="H329">
            <v>375</v>
          </cell>
          <cell r="I329" t="str">
            <v>Current Year Profit (Loss)</v>
          </cell>
        </row>
        <row r="330">
          <cell r="H330">
            <v>22</v>
          </cell>
          <cell r="I330" t="str">
            <v>Current Year Profit (Loss)</v>
          </cell>
        </row>
        <row r="331">
          <cell r="H331">
            <v>6171.03</v>
          </cell>
          <cell r="I331" t="str">
            <v>Current Year Profit (Loss)</v>
          </cell>
        </row>
        <row r="332">
          <cell r="H332">
            <v>0</v>
          </cell>
          <cell r="I332" t="str">
            <v>Current Year Profit (Loss)</v>
          </cell>
        </row>
        <row r="333">
          <cell r="H333">
            <v>6.9</v>
          </cell>
          <cell r="I333" t="str">
            <v>Current Year Profit (Loss)</v>
          </cell>
        </row>
        <row r="334">
          <cell r="H334">
            <v>7492.63</v>
          </cell>
          <cell r="I334" t="str">
            <v>Current Year Profit (Loss)</v>
          </cell>
        </row>
        <row r="335">
          <cell r="H335">
            <v>7500</v>
          </cell>
          <cell r="I335" t="str">
            <v>Current Year Profit (Loss)</v>
          </cell>
        </row>
        <row r="336">
          <cell r="H336">
            <v>1045</v>
          </cell>
          <cell r="I336" t="str">
            <v>Current Year Profit (Loss)</v>
          </cell>
        </row>
        <row r="337">
          <cell r="H337">
            <v>6552.74</v>
          </cell>
          <cell r="I337" t="str">
            <v>Current Year Profit (Loss)</v>
          </cell>
        </row>
        <row r="338">
          <cell r="H338">
            <v>29000</v>
          </cell>
          <cell r="I338" t="str">
            <v>Current Year Profit (Loss)</v>
          </cell>
        </row>
        <row r="339">
          <cell r="H339">
            <v>5766.8</v>
          </cell>
          <cell r="I339" t="str">
            <v>Current Year Profit (Loss)</v>
          </cell>
        </row>
        <row r="340">
          <cell r="H340">
            <v>11433.32</v>
          </cell>
          <cell r="I340" t="str">
            <v>Current Year Profit (Loss)</v>
          </cell>
        </row>
        <row r="341">
          <cell r="H341">
            <v>7219.8</v>
          </cell>
          <cell r="I341" t="str">
            <v>Current Year Profit (Loss)</v>
          </cell>
        </row>
        <row r="342">
          <cell r="H342">
            <v>4751.55</v>
          </cell>
          <cell r="I342" t="str">
            <v>Current Year Profit (Loss)</v>
          </cell>
        </row>
        <row r="343">
          <cell r="H343">
            <v>0</v>
          </cell>
          <cell r="I343" t="str">
            <v>Current Year Profit (Loss)</v>
          </cell>
        </row>
        <row r="344">
          <cell r="H344">
            <v>275354.59999999998</v>
          </cell>
          <cell r="I344" t="str">
            <v>Current Year Profit (Loss)</v>
          </cell>
        </row>
        <row r="345">
          <cell r="H345">
            <v>1249.17</v>
          </cell>
          <cell r="I345" t="str">
            <v>Current Year Profit (Loss)</v>
          </cell>
        </row>
        <row r="346">
          <cell r="H346">
            <v>398.7</v>
          </cell>
          <cell r="I346" t="str">
            <v>Current Year Profit (Loss)</v>
          </cell>
        </row>
        <row r="347">
          <cell r="H347">
            <v>25953.059999999998</v>
          </cell>
          <cell r="I347" t="str">
            <v>Current Year Profit (Loss)</v>
          </cell>
        </row>
        <row r="348">
          <cell r="H348">
            <v>8346.15</v>
          </cell>
          <cell r="I348" t="str">
            <v>Current Year Profit (Loss)</v>
          </cell>
        </row>
        <row r="349">
          <cell r="H349">
            <v>0</v>
          </cell>
          <cell r="I349" t="str">
            <v>Current Year Profit (Loss)</v>
          </cell>
        </row>
        <row r="350">
          <cell r="H350">
            <v>390</v>
          </cell>
          <cell r="I350" t="str">
            <v>Current Year Profit (Loss)</v>
          </cell>
        </row>
        <row r="351">
          <cell r="H351">
            <v>0</v>
          </cell>
          <cell r="I351" t="str">
            <v>Current Year Profit (Loss)</v>
          </cell>
        </row>
        <row r="352">
          <cell r="H352">
            <v>10313</v>
          </cell>
          <cell r="I352" t="str">
            <v>Current Year Profit (Loss)</v>
          </cell>
        </row>
        <row r="353">
          <cell r="H353">
            <v>0</v>
          </cell>
          <cell r="I353" t="str">
            <v>Current Year Profit (Loss)</v>
          </cell>
        </row>
        <row r="354">
          <cell r="H354">
            <v>380</v>
          </cell>
          <cell r="I354" t="str">
            <v>Current Year Profit (Loss)</v>
          </cell>
        </row>
        <row r="355">
          <cell r="H355">
            <v>0</v>
          </cell>
          <cell r="I355" t="str">
            <v>Current Year Profit (Loss)</v>
          </cell>
        </row>
        <row r="356">
          <cell r="H356">
            <v>7.3599999999999994</v>
          </cell>
          <cell r="I356" t="str">
            <v>Current Year Profit (Loss)</v>
          </cell>
        </row>
        <row r="357">
          <cell r="H357">
            <v>406.69</v>
          </cell>
          <cell r="I357" t="str">
            <v>Current Year Profit (Loss)</v>
          </cell>
        </row>
        <row r="358">
          <cell r="H358">
            <v>0</v>
          </cell>
          <cell r="I358" t="str">
            <v>Current Year Profit (Loss)</v>
          </cell>
        </row>
        <row r="359">
          <cell r="H359">
            <v>1069.77</v>
          </cell>
          <cell r="I359" t="str">
            <v>Current Year Profit (Loss)</v>
          </cell>
        </row>
        <row r="360">
          <cell r="H360">
            <v>2.0000002723691068E-2</v>
          </cell>
        </row>
      </sheetData>
      <sheetData sheetId="1">
        <row r="7">
          <cell r="B7" t="str">
            <v>Property, plant and equipment</v>
          </cell>
        </row>
        <row r="8">
          <cell r="B8" t="str">
            <v>Capital work in progress</v>
          </cell>
        </row>
        <row r="9">
          <cell r="B9" t="str">
            <v xml:space="preserve">Right on use of assets </v>
          </cell>
        </row>
        <row r="10">
          <cell r="B10" t="str">
            <v>Intangible assets</v>
          </cell>
        </row>
        <row r="14">
          <cell r="B14" t="str">
            <v>Inventories</v>
          </cell>
        </row>
        <row r="15">
          <cell r="B15" t="str">
            <v xml:space="preserve">Accounts receivable </v>
          </cell>
        </row>
        <row r="16">
          <cell r="B16" t="str">
            <v>Prepayments and other receivables</v>
          </cell>
        </row>
        <row r="17">
          <cell r="B17" t="str">
            <v xml:space="preserve">Other current assets </v>
          </cell>
        </row>
        <row r="18">
          <cell r="B18" t="str">
            <v>Short term debt receivable from RP</v>
          </cell>
        </row>
        <row r="19">
          <cell r="B19" t="str">
            <v>Bank balances and cash</v>
          </cell>
        </row>
        <row r="24">
          <cell r="B24" t="str">
            <v>Owner Contribution</v>
          </cell>
        </row>
        <row r="25">
          <cell r="B25" t="str">
            <v>Statutory Reserves</v>
          </cell>
        </row>
        <row r="26">
          <cell r="B26" t="str">
            <v>Current Year Profit (Loss)</v>
          </cell>
        </row>
        <row r="27">
          <cell r="B27" t="str">
            <v>Retained Earnings</v>
          </cell>
        </row>
        <row r="31">
          <cell r="B31" t="str">
            <v xml:space="preserve">Long-term loans </v>
          </cell>
        </row>
        <row r="32">
          <cell r="B32" t="str">
            <v xml:space="preserve">Long-term lease liability </v>
          </cell>
        </row>
        <row r="33">
          <cell r="B33" t="str">
            <v>Employees' end of service benefits</v>
          </cell>
        </row>
        <row r="37">
          <cell r="B37" t="str">
            <v xml:space="preserve">Zakat Payable </v>
          </cell>
        </row>
        <row r="38">
          <cell r="B38" t="str">
            <v>Current portion of long-term debt</v>
          </cell>
        </row>
        <row r="39">
          <cell r="B39" t="str">
            <v xml:space="preserve">Current portion of lease liability </v>
          </cell>
        </row>
        <row r="40">
          <cell r="B40" t="str">
            <v>Short-term borrowings</v>
          </cell>
        </row>
        <row r="41">
          <cell r="B41" t="str">
            <v xml:space="preserve">Trade and other payables </v>
          </cell>
        </row>
        <row r="42">
          <cell r="B42" t="str">
            <v xml:space="preserve">Other liabilities 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81E80-4540-4FEE-9471-BE3192486DB6}">
  <dimension ref="A1:Z54"/>
  <sheetViews>
    <sheetView tabSelected="1" workbookViewId="0">
      <selection sqref="A1:XFD1048576"/>
    </sheetView>
  </sheetViews>
  <sheetFormatPr defaultColWidth="9.109375" defaultRowHeight="13.2" x14ac:dyDescent="0.3"/>
  <cols>
    <col min="1" max="1" width="1.5546875" style="1" customWidth="1"/>
    <col min="2" max="2" width="30.109375" style="3" customWidth="1"/>
    <col min="3" max="3" width="11.33203125" style="3" customWidth="1"/>
    <col min="4" max="4" width="13.109375" style="3" customWidth="1"/>
    <col min="5" max="5" width="13.5546875" style="3" customWidth="1"/>
    <col min="6" max="6" width="2.33203125" style="4" customWidth="1"/>
    <col min="7" max="7" width="10.88671875" style="4" customWidth="1"/>
    <col min="8" max="8" width="40.44140625" style="3" customWidth="1"/>
    <col min="9" max="9" width="12.77734375" style="3" customWidth="1"/>
    <col min="10" max="10" width="13.44140625" style="3" customWidth="1"/>
    <col min="11" max="11" width="15.6640625" style="3" customWidth="1"/>
    <col min="12" max="12" width="12.5546875" style="5" bestFit="1" customWidth="1"/>
    <col min="13" max="13" width="13.5546875" style="5" bestFit="1" customWidth="1"/>
    <col min="14" max="14" width="11.109375" style="5" bestFit="1" customWidth="1"/>
    <col min="15" max="15" width="9.5546875" style="5" customWidth="1"/>
    <col min="16" max="16" width="12" style="5" bestFit="1" customWidth="1"/>
    <col min="17" max="17" width="5.5546875" style="5" customWidth="1"/>
    <col min="18" max="18" width="9.109375" style="5"/>
    <col min="19" max="20" width="10.5546875" style="5" bestFit="1" customWidth="1"/>
    <col min="21" max="21" width="9.109375" style="5"/>
    <col min="22" max="26" width="9.109375" style="5" hidden="1" customWidth="1"/>
    <col min="27" max="16384" width="9.109375" style="5"/>
  </cols>
  <sheetData>
    <row r="1" spans="1:15" x14ac:dyDescent="0.3">
      <c r="B1" s="2" t="str">
        <f>'[1]PL-Mgmt'!B1</f>
        <v>Greencity International</v>
      </c>
    </row>
    <row r="2" spans="1:15" x14ac:dyDescent="0.3">
      <c r="B2" s="6" t="s">
        <v>0</v>
      </c>
      <c r="C2" s="7"/>
      <c r="D2" s="5"/>
      <c r="E2" s="5"/>
      <c r="F2" s="8"/>
      <c r="G2" s="8"/>
      <c r="H2" s="6" t="s">
        <v>1</v>
      </c>
      <c r="I2" s="5"/>
      <c r="J2" s="5"/>
      <c r="K2" s="5"/>
    </row>
    <row r="3" spans="1:15" x14ac:dyDescent="0.3">
      <c r="B3" s="9"/>
      <c r="C3" s="9"/>
      <c r="D3" s="10" t="s">
        <v>2</v>
      </c>
      <c r="E3" s="10" t="s">
        <v>2</v>
      </c>
      <c r="F3" s="8"/>
      <c r="G3" s="8"/>
      <c r="H3" s="9"/>
      <c r="I3" s="9"/>
      <c r="J3" s="10" t="s">
        <v>2</v>
      </c>
      <c r="K3" s="10" t="s">
        <v>2</v>
      </c>
    </row>
    <row r="4" spans="1:15" x14ac:dyDescent="0.3">
      <c r="B4" s="2" t="s">
        <v>3</v>
      </c>
      <c r="C4" s="9"/>
      <c r="D4" s="11">
        <v>45808</v>
      </c>
      <c r="E4" s="12">
        <v>46022</v>
      </c>
      <c r="F4" s="8"/>
      <c r="G4" s="8"/>
      <c r="H4" s="2" t="s">
        <v>3</v>
      </c>
      <c r="I4" s="9"/>
      <c r="J4" s="11">
        <f>D4</f>
        <v>45808</v>
      </c>
      <c r="K4" s="12">
        <f>E4</f>
        <v>46022</v>
      </c>
    </row>
    <row r="5" spans="1:15" x14ac:dyDescent="0.3">
      <c r="B5" s="5"/>
      <c r="C5" s="5"/>
      <c r="D5" s="13"/>
      <c r="E5" s="14"/>
      <c r="F5" s="15"/>
      <c r="G5" s="8"/>
      <c r="H5" s="16" t="s">
        <v>4</v>
      </c>
      <c r="I5" s="5"/>
      <c r="J5" s="17"/>
      <c r="K5" s="17"/>
    </row>
    <row r="6" spans="1:15" x14ac:dyDescent="0.3">
      <c r="B6" s="16" t="s">
        <v>5</v>
      </c>
      <c r="C6" s="5"/>
      <c r="D6" s="13"/>
      <c r="E6" s="14"/>
      <c r="F6" s="15"/>
      <c r="G6" s="8"/>
      <c r="H6" s="3" t="s">
        <v>6</v>
      </c>
      <c r="J6" s="18">
        <f>D26+D27</f>
        <v>255542.41999999798</v>
      </c>
      <c r="K6" s="19"/>
      <c r="M6" s="20"/>
    </row>
    <row r="7" spans="1:15" x14ac:dyDescent="0.3">
      <c r="A7" s="4"/>
      <c r="B7" s="3" t="s">
        <v>7</v>
      </c>
      <c r="D7" s="21">
        <f>SUMIF([2]trial!$I$7:$I$359,'[2]bs and cf'!B7,[2]trial!$H$7:$H$360)</f>
        <v>1099812.7399999998</v>
      </c>
      <c r="E7" s="22"/>
      <c r="F7" s="23"/>
      <c r="G7" s="24"/>
      <c r="H7" s="5"/>
      <c r="I7" s="5"/>
      <c r="J7" s="18"/>
      <c r="K7" s="19"/>
      <c r="M7" s="20"/>
    </row>
    <row r="8" spans="1:15" x14ac:dyDescent="0.3">
      <c r="A8" s="4"/>
      <c r="B8" s="3" t="s">
        <v>8</v>
      </c>
      <c r="D8" s="21">
        <f>SUMIF([2]trial!$I$7:$I$359,'[2]bs and cf'!B8,[2]trial!$H$7:$H$360)</f>
        <v>0</v>
      </c>
      <c r="E8" s="22">
        <v>0</v>
      </c>
      <c r="F8" s="23"/>
      <c r="G8" s="24"/>
      <c r="H8" s="16" t="s">
        <v>9</v>
      </c>
      <c r="I8" s="5"/>
      <c r="J8" s="18"/>
      <c r="K8" s="19"/>
      <c r="M8" s="20"/>
    </row>
    <row r="9" spans="1:15" x14ac:dyDescent="0.3">
      <c r="A9" s="4"/>
      <c r="B9" s="3" t="s">
        <v>10</v>
      </c>
      <c r="D9" s="21">
        <f>SUMIF([2]trial!$I$7:$I$359,'[2]bs and cf'!B9,[2]trial!$H$7:$H$360)</f>
        <v>0</v>
      </c>
      <c r="E9" s="22">
        <v>0</v>
      </c>
      <c r="F9" s="23"/>
      <c r="G9" s="24"/>
      <c r="H9" s="5" t="s">
        <v>11</v>
      </c>
      <c r="I9" s="5"/>
      <c r="J9" s="18">
        <v>0</v>
      </c>
      <c r="K9" s="19"/>
      <c r="M9" s="20"/>
    </row>
    <row r="10" spans="1:15" x14ac:dyDescent="0.3">
      <c r="A10" s="4"/>
      <c r="B10" s="3" t="s">
        <v>12</v>
      </c>
      <c r="D10" s="21">
        <f>SUMIF([2]trial!$I$7:$I$359,'[2]bs and cf'!B10,[2]trial!$H$7:$H$360)</f>
        <v>0</v>
      </c>
      <c r="E10" s="22"/>
      <c r="F10" s="23"/>
      <c r="G10" s="24"/>
      <c r="H10" s="5" t="s">
        <v>13</v>
      </c>
      <c r="I10" s="5"/>
      <c r="J10" s="18">
        <v>0</v>
      </c>
      <c r="K10" s="19"/>
      <c r="M10" s="20"/>
    </row>
    <row r="11" spans="1:15" x14ac:dyDescent="0.3">
      <c r="A11" s="4"/>
      <c r="B11" s="25" t="s">
        <v>14</v>
      </c>
      <c r="C11" s="25"/>
      <c r="D11" s="26">
        <f>SUM(D7:D10)</f>
        <v>1099812.7399999998</v>
      </c>
      <c r="E11" s="26">
        <f>SUM(E7:E10)</f>
        <v>0</v>
      </c>
      <c r="F11" s="23"/>
      <c r="G11" s="24"/>
      <c r="H11" s="5" t="s">
        <v>15</v>
      </c>
      <c r="I11" s="5"/>
      <c r="J11" s="18">
        <v>0</v>
      </c>
      <c r="K11" s="19"/>
      <c r="M11" s="20"/>
    </row>
    <row r="12" spans="1:15" x14ac:dyDescent="0.3">
      <c r="A12" s="4"/>
      <c r="D12" s="21"/>
      <c r="E12" s="22"/>
      <c r="F12" s="23"/>
      <c r="G12" s="24"/>
      <c r="H12" s="5" t="s">
        <v>16</v>
      </c>
      <c r="I12" s="5"/>
      <c r="J12" s="18">
        <v>0</v>
      </c>
      <c r="K12" s="19"/>
      <c r="M12" s="20"/>
    </row>
    <row r="13" spans="1:15" x14ac:dyDescent="0.3">
      <c r="A13" s="8"/>
      <c r="B13" s="16" t="s">
        <v>17</v>
      </c>
      <c r="C13" s="16"/>
      <c r="D13" s="27"/>
      <c r="E13" s="28"/>
      <c r="F13" s="23"/>
      <c r="G13" s="24"/>
      <c r="H13" s="5" t="s">
        <v>18</v>
      </c>
      <c r="I13" s="5"/>
      <c r="J13" s="18">
        <f>SUM(D33-E33)</f>
        <v>359740.9</v>
      </c>
      <c r="K13" s="19"/>
      <c r="M13" s="20"/>
    </row>
    <row r="14" spans="1:15" x14ac:dyDescent="0.3">
      <c r="A14" s="8"/>
      <c r="B14" s="5" t="s">
        <v>19</v>
      </c>
      <c r="C14" s="5"/>
      <c r="D14" s="21">
        <f>SUMIF([2]trial!$I$7:$I$359,'[2]bs and cf'!B14,[2]trial!$H$7:$H$360)</f>
        <v>992885.3899999992</v>
      </c>
      <c r="E14" s="21"/>
      <c r="F14" s="23"/>
      <c r="G14" s="29"/>
      <c r="H14" s="16"/>
      <c r="I14" s="5"/>
      <c r="J14" s="18"/>
      <c r="K14" s="19"/>
      <c r="M14" s="20"/>
    </row>
    <row r="15" spans="1:15" x14ac:dyDescent="0.3">
      <c r="A15" s="8"/>
      <c r="B15" s="5" t="s">
        <v>20</v>
      </c>
      <c r="C15" s="5"/>
      <c r="D15" s="21">
        <f>SUMIF([2]trial!$I$7:$I$359,'[2]bs and cf'!B15,[2]trial!$H$7:$H$360)</f>
        <v>1024656.5200000008</v>
      </c>
      <c r="E15" s="21"/>
      <c r="F15" s="23"/>
      <c r="G15" s="29"/>
      <c r="H15" s="16" t="s">
        <v>21</v>
      </c>
      <c r="I15" s="5"/>
      <c r="J15" s="18"/>
      <c r="K15" s="19"/>
      <c r="M15" s="20"/>
      <c r="O15" s="20"/>
    </row>
    <row r="16" spans="1:15" x14ac:dyDescent="0.3">
      <c r="A16" s="30"/>
      <c r="B16" s="5" t="s">
        <v>22</v>
      </c>
      <c r="C16" s="5"/>
      <c r="D16" s="21">
        <f>SUMIF([2]trial!$I$7:$I$359,'[2]bs and cf'!B16,[2]trial!$H$7:$H$360)</f>
        <v>138336</v>
      </c>
      <c r="E16" s="22"/>
      <c r="F16" s="23"/>
      <c r="G16" s="24"/>
      <c r="H16" s="5" t="s">
        <v>19</v>
      </c>
      <c r="I16" s="5"/>
      <c r="J16" s="18">
        <f>E14-D14</f>
        <v>-992885.3899999992</v>
      </c>
      <c r="K16" s="19"/>
      <c r="M16" s="20"/>
      <c r="O16" s="20"/>
    </row>
    <row r="17" spans="1:15" x14ac:dyDescent="0.3">
      <c r="A17" s="8"/>
      <c r="B17" s="5" t="s">
        <v>23</v>
      </c>
      <c r="C17" s="5"/>
      <c r="D17" s="21">
        <f>SUMIF([2]trial!$I$7:$I$359,'[2]bs and cf'!B17,[2]trial!$H$7:$H$360)</f>
        <v>986606.75000000035</v>
      </c>
      <c r="E17" s="22"/>
      <c r="F17" s="23"/>
      <c r="G17" s="29"/>
      <c r="H17" s="5" t="s">
        <v>24</v>
      </c>
      <c r="I17" s="5"/>
      <c r="J17" s="18">
        <f>E15-D15</f>
        <v>-1024656.5200000008</v>
      </c>
      <c r="K17" s="19"/>
      <c r="M17" s="20"/>
      <c r="O17" s="20"/>
    </row>
    <row r="18" spans="1:15" x14ac:dyDescent="0.3">
      <c r="A18" s="31"/>
      <c r="B18" s="5" t="s">
        <v>25</v>
      </c>
      <c r="C18" s="5"/>
      <c r="D18" s="21">
        <f>SUMIF([2]trial!$I$7:$I$359,'[2]bs and cf'!B18,[2]trial!$H$7:$H$360)</f>
        <v>668205.81999999995</v>
      </c>
      <c r="E18" s="22"/>
      <c r="F18" s="23"/>
      <c r="G18" s="24"/>
      <c r="H18" s="5" t="s">
        <v>22</v>
      </c>
      <c r="I18" s="5"/>
      <c r="J18" s="18">
        <f>E16-D16</f>
        <v>-138336</v>
      </c>
      <c r="K18" s="19"/>
      <c r="M18" s="20"/>
      <c r="O18" s="20"/>
    </row>
    <row r="19" spans="1:15" x14ac:dyDescent="0.3">
      <c r="A19" s="31"/>
      <c r="B19" s="5" t="s">
        <v>26</v>
      </c>
      <c r="C19" s="5"/>
      <c r="D19" s="21">
        <f>SUMIF([2]trial!$I$7:$I$359,'[2]bs and cf'!B19,[2]trial!$H$7:$H$360)</f>
        <v>53747.590000000782</v>
      </c>
      <c r="E19" s="22"/>
      <c r="F19" s="23"/>
      <c r="G19" s="29"/>
      <c r="H19" s="5" t="s">
        <v>27</v>
      </c>
      <c r="I19" s="5"/>
      <c r="J19" s="18">
        <f>E17-D17</f>
        <v>-986606.75000000035</v>
      </c>
      <c r="K19" s="19"/>
      <c r="M19" s="20"/>
      <c r="O19" s="20"/>
    </row>
    <row r="20" spans="1:15" x14ac:dyDescent="0.3">
      <c r="A20" s="8"/>
      <c r="B20" s="25" t="s">
        <v>28</v>
      </c>
      <c r="C20" s="25"/>
      <c r="D20" s="26">
        <f>SUM(D14:D19)</f>
        <v>3864438.0700000012</v>
      </c>
      <c r="E20" s="26">
        <f>SUM(E14:E19)</f>
        <v>0</v>
      </c>
      <c r="F20" s="23"/>
      <c r="G20" s="24"/>
      <c r="H20" s="5" t="s">
        <v>29</v>
      </c>
      <c r="I20" s="5"/>
      <c r="J20" s="18">
        <f>SUM(D41-E41)</f>
        <v>3545230.8199999984</v>
      </c>
      <c r="K20" s="19"/>
      <c r="M20" s="20"/>
      <c r="O20" s="20"/>
    </row>
    <row r="21" spans="1:15" ht="13.8" thickBot="1" x14ac:dyDescent="0.35">
      <c r="A21" s="8"/>
      <c r="B21" s="32" t="s">
        <v>30</v>
      </c>
      <c r="C21" s="32"/>
      <c r="D21" s="33">
        <f>D20+D11</f>
        <v>4964250.8100000005</v>
      </c>
      <c r="E21" s="33">
        <f>E20+E11</f>
        <v>0</v>
      </c>
      <c r="F21" s="23"/>
      <c r="G21" s="24"/>
      <c r="H21" s="34" t="s">
        <v>31</v>
      </c>
      <c r="I21" s="34"/>
      <c r="J21" s="35">
        <f>D42-E42</f>
        <v>668647.96000000008</v>
      </c>
      <c r="K21" s="35"/>
      <c r="M21" s="20"/>
      <c r="O21" s="20"/>
    </row>
    <row r="22" spans="1:15" ht="13.8" thickTop="1" x14ac:dyDescent="0.3">
      <c r="A22" s="8"/>
      <c r="D22" s="36"/>
      <c r="E22" s="37"/>
      <c r="F22" s="23"/>
      <c r="G22" s="24"/>
      <c r="H22" s="38" t="s">
        <v>32</v>
      </c>
      <c r="I22" s="38"/>
      <c r="J22" s="39">
        <f>SUM(J6:J21)</f>
        <v>1686677.4399999958</v>
      </c>
      <c r="K22" s="39">
        <f>SUM(K6:K21)</f>
        <v>0</v>
      </c>
      <c r="M22" s="20"/>
      <c r="O22" s="20"/>
    </row>
    <row r="23" spans="1:15" x14ac:dyDescent="0.3">
      <c r="A23" s="8"/>
      <c r="B23" s="16" t="s">
        <v>33</v>
      </c>
      <c r="C23" s="5"/>
      <c r="D23" s="21"/>
      <c r="E23" s="22"/>
      <c r="F23" s="23"/>
      <c r="G23" s="24"/>
      <c r="H23" s="3" t="s">
        <v>34</v>
      </c>
      <c r="J23" s="40">
        <v>0</v>
      </c>
      <c r="K23" s="41">
        <v>0</v>
      </c>
      <c r="M23" s="20"/>
      <c r="O23" s="20"/>
    </row>
    <row r="24" spans="1:15" x14ac:dyDescent="0.3">
      <c r="A24" s="8"/>
      <c r="B24" s="5" t="s">
        <v>35</v>
      </c>
      <c r="C24" s="5"/>
      <c r="D24" s="21">
        <f>-SUMIF([2]trial!$I$7:$I$359,'[2]bs and cf'!B24,[2]trial!$H$7:$H$360)</f>
        <v>135088.68999999994</v>
      </c>
      <c r="E24" s="22">
        <v>0</v>
      </c>
      <c r="F24" s="23"/>
      <c r="G24" s="24"/>
      <c r="H24" s="5" t="s">
        <v>36</v>
      </c>
      <c r="I24" s="5"/>
      <c r="J24" s="18">
        <v>0</v>
      </c>
      <c r="K24" s="41">
        <v>0</v>
      </c>
      <c r="M24" s="20"/>
      <c r="O24" s="20"/>
    </row>
    <row r="25" spans="1:15" x14ac:dyDescent="0.3">
      <c r="A25" s="8"/>
      <c r="B25" s="5" t="s">
        <v>37</v>
      </c>
      <c r="C25" s="5"/>
      <c r="D25" s="21">
        <f>-SUMIF([2]trial!$I$7:$I$359,'[2]bs and cf'!B25,[2]trial!$H$7:$H$360)</f>
        <v>0</v>
      </c>
      <c r="E25" s="22">
        <v>0</v>
      </c>
      <c r="F25" s="23"/>
      <c r="G25" s="24"/>
      <c r="H25" s="5" t="s">
        <v>38</v>
      </c>
      <c r="J25" s="18">
        <v>0</v>
      </c>
      <c r="K25" s="41">
        <v>0</v>
      </c>
      <c r="M25" s="20"/>
      <c r="O25" s="20"/>
    </row>
    <row r="26" spans="1:15" x14ac:dyDescent="0.3">
      <c r="A26" s="8"/>
      <c r="B26" s="5" t="s">
        <v>39</v>
      </c>
      <c r="C26" s="5"/>
      <c r="D26" s="21">
        <f>-SUMIF([2]trial!$I$7:$I$359,'[2]bs and cf'!B26,[2]trial!$H$7:$H$360)</f>
        <v>316920.93999999797</v>
      </c>
      <c r="E26" s="22">
        <v>0</v>
      </c>
      <c r="F26" s="23"/>
      <c r="G26" s="29"/>
      <c r="H26" s="42" t="s">
        <v>40</v>
      </c>
      <c r="I26" s="42"/>
      <c r="J26" s="43">
        <f>SUM(J22:J25)</f>
        <v>1686677.4399999958</v>
      </c>
      <c r="K26" s="43">
        <f>SUM(K22:K25)</f>
        <v>0</v>
      </c>
      <c r="M26" s="20"/>
      <c r="O26" s="20"/>
    </row>
    <row r="27" spans="1:15" x14ac:dyDescent="0.3">
      <c r="A27" s="8"/>
      <c r="B27" s="5" t="s">
        <v>41</v>
      </c>
      <c r="C27" s="5"/>
      <c r="D27" s="21">
        <f>-SUMIF([2]trial!$I$7:$I$359,'[2]bs and cf'!B27,[2]trial!$H$7:$H$360)</f>
        <v>-61378.52</v>
      </c>
      <c r="E27" s="22"/>
      <c r="F27" s="23"/>
      <c r="G27" s="24"/>
      <c r="H27" s="5"/>
      <c r="I27" s="5"/>
      <c r="J27" s="18"/>
      <c r="K27" s="44"/>
      <c r="M27" s="20"/>
      <c r="O27" s="20"/>
    </row>
    <row r="28" spans="1:15" x14ac:dyDescent="0.3">
      <c r="A28" s="8"/>
      <c r="B28" s="25" t="s">
        <v>42</v>
      </c>
      <c r="C28" s="25"/>
      <c r="D28" s="26">
        <f>SUM(D24:D27)</f>
        <v>390631.10999999789</v>
      </c>
      <c r="E28" s="26">
        <f>SUM(E24:E27)</f>
        <v>0</v>
      </c>
      <c r="F28" s="23"/>
      <c r="G28" s="24"/>
      <c r="H28" s="16" t="s">
        <v>43</v>
      </c>
      <c r="I28" s="5"/>
      <c r="J28" s="18"/>
      <c r="K28" s="44"/>
      <c r="M28" s="20"/>
      <c r="O28" s="20"/>
    </row>
    <row r="29" spans="1:15" x14ac:dyDescent="0.3">
      <c r="A29" s="8"/>
      <c r="B29" s="5"/>
      <c r="C29" s="5"/>
      <c r="D29" s="21"/>
      <c r="E29" s="22"/>
      <c r="F29" s="23"/>
      <c r="G29" s="24"/>
      <c r="H29" s="5" t="s">
        <v>44</v>
      </c>
      <c r="I29" s="5"/>
      <c r="J29" s="18">
        <f>E11-D11</f>
        <v>-1099812.7399999998</v>
      </c>
      <c r="K29" s="19"/>
      <c r="O29" s="20"/>
    </row>
    <row r="30" spans="1:15" x14ac:dyDescent="0.3">
      <c r="A30" s="8"/>
      <c r="B30" s="16" t="s">
        <v>45</v>
      </c>
      <c r="C30" s="5"/>
      <c r="D30" s="21"/>
      <c r="E30" s="22"/>
      <c r="F30" s="23"/>
      <c r="G30" s="24"/>
      <c r="H30" s="5" t="s">
        <v>35</v>
      </c>
      <c r="I30" s="5"/>
      <c r="J30" s="18">
        <f>SUM(D24-E24)</f>
        <v>135088.68999999994</v>
      </c>
      <c r="K30" s="19">
        <v>0</v>
      </c>
      <c r="O30" s="20"/>
    </row>
    <row r="31" spans="1:15" x14ac:dyDescent="0.3">
      <c r="A31" s="8"/>
      <c r="B31" s="5" t="s">
        <v>46</v>
      </c>
      <c r="C31" s="5"/>
      <c r="D31" s="21">
        <f>-SUMIF([2]trial!$I$7:$I$359,'[2]bs and cf'!B31,[2]trial!$H$7:$H$360)</f>
        <v>0</v>
      </c>
      <c r="E31" s="22">
        <v>0</v>
      </c>
      <c r="F31" s="23"/>
      <c r="G31" s="24"/>
      <c r="H31" s="5" t="s">
        <v>47</v>
      </c>
      <c r="I31" s="5"/>
      <c r="J31" s="18">
        <v>0</v>
      </c>
      <c r="K31" s="19">
        <v>0</v>
      </c>
      <c r="O31" s="20"/>
    </row>
    <row r="32" spans="1:15" x14ac:dyDescent="0.3">
      <c r="A32" s="8"/>
      <c r="B32" s="5" t="s">
        <v>48</v>
      </c>
      <c r="C32" s="5"/>
      <c r="D32" s="21">
        <f>-SUMIF([2]trial!$I$7:$I$359,'[2]bs and cf'!B32,[2]trial!$H$7:$H$360)</f>
        <v>0</v>
      </c>
      <c r="E32" s="22">
        <v>0</v>
      </c>
      <c r="F32" s="23"/>
      <c r="G32" s="24"/>
      <c r="H32" s="3" t="s">
        <v>49</v>
      </c>
      <c r="J32" s="18"/>
      <c r="K32" s="19">
        <v>0</v>
      </c>
      <c r="O32" s="20"/>
    </row>
    <row r="33" spans="1:15" x14ac:dyDescent="0.3">
      <c r="A33" s="8"/>
      <c r="B33" s="5" t="s">
        <v>50</v>
      </c>
      <c r="C33" s="5"/>
      <c r="D33" s="21">
        <f>-SUMIF([2]trial!$I$7:$I$359,'[2]bs and cf'!B33,[2]trial!$H$7:$H$360)</f>
        <v>359740.9</v>
      </c>
      <c r="E33" s="22"/>
      <c r="F33" s="23"/>
      <c r="G33" s="29"/>
      <c r="H33" s="5" t="s">
        <v>51</v>
      </c>
      <c r="I33" s="5"/>
      <c r="J33" s="18">
        <f>E18-D18</f>
        <v>-668205.81999999995</v>
      </c>
      <c r="K33" s="19"/>
      <c r="O33" s="20"/>
    </row>
    <row r="34" spans="1:15" x14ac:dyDescent="0.3">
      <c r="A34" s="8"/>
      <c r="B34" s="25" t="s">
        <v>52</v>
      </c>
      <c r="C34" s="25"/>
      <c r="D34" s="45">
        <f>SUM(D31:D33)</f>
        <v>359740.9</v>
      </c>
      <c r="E34" s="45">
        <f>SUM(E31:E33)</f>
        <v>0</v>
      </c>
      <c r="F34" s="23"/>
      <c r="G34" s="24"/>
      <c r="H34" s="42" t="s">
        <v>53</v>
      </c>
      <c r="I34" s="42"/>
      <c r="J34" s="43">
        <f>SUM(J29:J33)</f>
        <v>-1632929.8699999996</v>
      </c>
      <c r="K34" s="43">
        <f>SUM(K29:K33)</f>
        <v>0</v>
      </c>
      <c r="O34" s="20"/>
    </row>
    <row r="35" spans="1:15" x14ac:dyDescent="0.3">
      <c r="A35" s="8"/>
      <c r="B35" s="16"/>
      <c r="C35" s="16"/>
      <c r="D35" s="46"/>
      <c r="E35" s="47"/>
      <c r="F35" s="23"/>
      <c r="G35" s="24"/>
      <c r="H35" s="38"/>
      <c r="I35" s="38"/>
      <c r="J35" s="48"/>
      <c r="K35" s="48"/>
      <c r="O35" s="20"/>
    </row>
    <row r="36" spans="1:15" x14ac:dyDescent="0.3">
      <c r="A36" s="8"/>
      <c r="B36" s="16" t="s">
        <v>54</v>
      </c>
      <c r="C36" s="5"/>
      <c r="D36" s="13"/>
      <c r="E36" s="49"/>
      <c r="F36" s="23"/>
      <c r="G36" s="24"/>
      <c r="H36" s="16" t="s">
        <v>55</v>
      </c>
      <c r="I36" s="5"/>
      <c r="J36" s="50"/>
      <c r="K36" s="50"/>
      <c r="O36" s="20"/>
    </row>
    <row r="37" spans="1:15" x14ac:dyDescent="0.3">
      <c r="A37" s="8"/>
      <c r="B37" s="5" t="s">
        <v>56</v>
      </c>
      <c r="C37" s="5"/>
      <c r="D37" s="21">
        <f>-SUMIF([2]trial!$I$7:$I$359,'[2]bs and cf'!B37,[2]trial!$H$7:$H$360)</f>
        <v>0</v>
      </c>
      <c r="E37" s="22">
        <v>0</v>
      </c>
      <c r="F37" s="23"/>
      <c r="G37" s="24"/>
      <c r="H37" s="5" t="s">
        <v>57</v>
      </c>
      <c r="I37" s="5"/>
      <c r="J37" s="51">
        <f>D40-E40</f>
        <v>0</v>
      </c>
      <c r="K37" s="52"/>
      <c r="O37" s="20"/>
    </row>
    <row r="38" spans="1:15" x14ac:dyDescent="0.3">
      <c r="A38" s="8"/>
      <c r="B38" s="5" t="s">
        <v>58</v>
      </c>
      <c r="C38" s="5"/>
      <c r="D38" s="21">
        <f>-SUMIF([2]trial!$I$7:$I$359,'[2]bs and cf'!B38,[2]trial!$H$7:$H$360)</f>
        <v>0</v>
      </c>
      <c r="E38" s="22">
        <v>0</v>
      </c>
      <c r="F38" s="23"/>
      <c r="G38" s="24"/>
      <c r="H38" s="5" t="s">
        <v>59</v>
      </c>
      <c r="I38" s="5"/>
      <c r="J38" s="53">
        <v>0</v>
      </c>
      <c r="K38" s="52"/>
      <c r="O38" s="20"/>
    </row>
    <row r="39" spans="1:15" x14ac:dyDescent="0.3">
      <c r="A39" s="8"/>
      <c r="B39" s="5" t="s">
        <v>60</v>
      </c>
      <c r="C39" s="5"/>
      <c r="D39" s="21">
        <f>-SUMIF([2]trial!$I$7:$I$359,'[2]bs and cf'!B39,[2]trial!$H$7:$H$360)</f>
        <v>0</v>
      </c>
      <c r="E39" s="22">
        <v>0</v>
      </c>
      <c r="F39" s="23"/>
      <c r="G39" s="24"/>
      <c r="H39" s="5" t="s">
        <v>61</v>
      </c>
      <c r="I39" s="5"/>
      <c r="J39" s="53">
        <v>0</v>
      </c>
      <c r="K39" s="52">
        <v>0</v>
      </c>
      <c r="O39" s="20"/>
    </row>
    <row r="40" spans="1:15" x14ac:dyDescent="0.3">
      <c r="A40" s="8"/>
      <c r="B40" s="54" t="s">
        <v>62</v>
      </c>
      <c r="C40" s="5"/>
      <c r="D40" s="21">
        <f>-SUMIF([2]trial!$I$7:$I$359,'[2]bs and cf'!B40,[2]trial!$H$7:$H$360)</f>
        <v>0</v>
      </c>
      <c r="E40" s="22"/>
      <c r="F40" s="23"/>
      <c r="G40" s="24"/>
      <c r="H40" s="3" t="s">
        <v>63</v>
      </c>
      <c r="J40" s="53">
        <v>0</v>
      </c>
      <c r="K40" s="52">
        <v>0</v>
      </c>
      <c r="O40" s="20"/>
    </row>
    <row r="41" spans="1:15" x14ac:dyDescent="0.3">
      <c r="A41" s="8"/>
      <c r="B41" s="5" t="s">
        <v>64</v>
      </c>
      <c r="C41" s="5"/>
      <c r="D41" s="21">
        <f>-SUMIF([2]trial!$I$7:$I$359,'[2]bs and cf'!B41,[2]trial!$H$7:$H$360)</f>
        <v>3545230.8199999984</v>
      </c>
      <c r="E41" s="22"/>
      <c r="F41" s="23"/>
      <c r="G41" s="29"/>
      <c r="H41" s="3" t="s">
        <v>65</v>
      </c>
      <c r="J41" s="53">
        <v>0</v>
      </c>
      <c r="K41" s="52">
        <v>0</v>
      </c>
      <c r="O41" s="20"/>
    </row>
    <row r="42" spans="1:15" x14ac:dyDescent="0.3">
      <c r="A42" s="8"/>
      <c r="B42" s="5" t="s">
        <v>66</v>
      </c>
      <c r="C42" s="5"/>
      <c r="D42" s="21">
        <f>-SUMIF([2]trial!$I$7:$I$359,'[2]bs and cf'!B42,[2]trial!$H$7:$H$360)</f>
        <v>668647.96000000008</v>
      </c>
      <c r="E42" s="22"/>
      <c r="F42" s="23"/>
      <c r="G42" s="29"/>
      <c r="H42" s="42" t="s">
        <v>67</v>
      </c>
      <c r="I42" s="42"/>
      <c r="J42" s="55">
        <f>SUM(J37:J41)</f>
        <v>0</v>
      </c>
      <c r="K42" s="55">
        <f>SUM(K37:K41)</f>
        <v>0</v>
      </c>
      <c r="O42" s="20"/>
    </row>
    <row r="43" spans="1:15" x14ac:dyDescent="0.3">
      <c r="A43" s="8"/>
      <c r="B43" s="25" t="s">
        <v>68</v>
      </c>
      <c r="C43" s="25"/>
      <c r="D43" s="56">
        <f>SUM(D37:D42)</f>
        <v>4213878.7799999984</v>
      </c>
      <c r="E43" s="56">
        <f>SUM(E37:E42)</f>
        <v>0</v>
      </c>
      <c r="F43" s="23"/>
      <c r="G43" s="24"/>
      <c r="J43" s="57"/>
      <c r="O43" s="20"/>
    </row>
    <row r="44" spans="1:15" x14ac:dyDescent="0.3">
      <c r="A44" s="8"/>
      <c r="B44" s="25" t="s">
        <v>69</v>
      </c>
      <c r="C44" s="25"/>
      <c r="D44" s="58">
        <f>(D43+D34)</f>
        <v>4573619.6799999988</v>
      </c>
      <c r="E44" s="58">
        <f>(E43+E34)</f>
        <v>0</v>
      </c>
      <c r="F44" s="23"/>
      <c r="G44" s="24"/>
      <c r="H44" s="3" t="s">
        <v>70</v>
      </c>
      <c r="J44" s="57">
        <f>J42+J34+J26</f>
        <v>53747.569999996107</v>
      </c>
      <c r="K44" s="57">
        <f>K42+K34+K26</f>
        <v>0</v>
      </c>
      <c r="O44" s="20"/>
    </row>
    <row r="45" spans="1:15" ht="13.8" thickBot="1" x14ac:dyDescent="0.35">
      <c r="A45" s="8"/>
      <c r="B45" s="32" t="s">
        <v>71</v>
      </c>
      <c r="C45" s="32"/>
      <c r="D45" s="59">
        <f>(D44+D28)</f>
        <v>4964250.7899999963</v>
      </c>
      <c r="E45" s="59">
        <f>(E44+E28)</f>
        <v>0</v>
      </c>
      <c r="F45" s="23"/>
      <c r="G45" s="24"/>
      <c r="H45" s="3" t="s">
        <v>72</v>
      </c>
      <c r="J45" s="57">
        <f>E19</f>
        <v>0</v>
      </c>
      <c r="K45" s="60">
        <v>0</v>
      </c>
      <c r="O45" s="20"/>
    </row>
    <row r="46" spans="1:15" ht="13.8" thickTop="1" x14ac:dyDescent="0.3">
      <c r="A46" s="8"/>
      <c r="B46" s="61"/>
      <c r="C46" s="61"/>
      <c r="D46" s="62">
        <f>D21-D45</f>
        <v>2.0000004209578037E-2</v>
      </c>
      <c r="E46" s="62">
        <f>E21-E45</f>
        <v>0</v>
      </c>
      <c r="F46" s="63"/>
      <c r="G46" s="8"/>
      <c r="H46" s="64" t="s">
        <v>73</v>
      </c>
      <c r="I46" s="64"/>
      <c r="J46" s="65">
        <f>J45+J44</f>
        <v>53747.569999996107</v>
      </c>
      <c r="K46" s="65">
        <f>K45+K44</f>
        <v>0</v>
      </c>
      <c r="O46" s="20"/>
    </row>
    <row r="47" spans="1:15" x14ac:dyDescent="0.3">
      <c r="A47" s="8"/>
      <c r="G47" s="8"/>
      <c r="J47" s="66">
        <f>J46-D19</f>
        <v>-2.0000004675239325E-2</v>
      </c>
    </row>
    <row r="48" spans="1:15" x14ac:dyDescent="0.3">
      <c r="A48" s="8"/>
      <c r="D48" s="67">
        <v>0</v>
      </c>
    </row>
    <row r="49" spans="1:10" x14ac:dyDescent="0.3">
      <c r="A49" s="8"/>
      <c r="D49" s="68">
        <v>0</v>
      </c>
    </row>
    <row r="50" spans="1:10" x14ac:dyDescent="0.3">
      <c r="A50" s="8"/>
      <c r="D50" s="67">
        <v>0</v>
      </c>
      <c r="E50" s="69">
        <f>D48+D49-D50</f>
        <v>0</v>
      </c>
    </row>
    <row r="51" spans="1:10" x14ac:dyDescent="0.3">
      <c r="A51" s="8"/>
    </row>
    <row r="52" spans="1:10" x14ac:dyDescent="0.3">
      <c r="A52" s="8"/>
    </row>
    <row r="53" spans="1:10" x14ac:dyDescent="0.3">
      <c r="A53" s="8"/>
    </row>
    <row r="54" spans="1:10" s="71" customFormat="1" ht="5.25" customHeight="1" x14ac:dyDescent="0.3">
      <c r="A54" s="70"/>
      <c r="F54" s="70"/>
      <c r="G54" s="70"/>
      <c r="J54" s="7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Namma Al Enjaz</dc:creator>
  <cp:lastModifiedBy>Namma Al Enjaz</cp:lastModifiedBy>
  <dcterms:created xsi:type="dcterms:W3CDTF">2026-06-23T11:32:16Z</dcterms:created>
  <dcterms:modified xsi:type="dcterms:W3CDTF">2026-06-23T11:32:40Z</dcterms:modified>
</cp:coreProperties>
</file>