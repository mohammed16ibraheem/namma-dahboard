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ce\Desktop\Temp files &amp; Folders\"/>
    </mc:Choice>
  </mc:AlternateContent>
  <xr:revisionPtr revIDLastSave="0" documentId="13_ncr:1_{D92E29E1-F501-4E18-B7C4-8A0C9B3B69E4}" xr6:coauthVersionLast="47" xr6:coauthVersionMax="47" xr10:uidLastSave="{00000000-0000-0000-0000-000000000000}"/>
  <bookViews>
    <workbookView xWindow="-108" yWindow="-108" windowWidth="23256" windowHeight="12456" activeTab="4" xr2:uid="{D172CFE0-A9BE-45B2-A229-1057C239BD63}"/>
  </bookViews>
  <sheets>
    <sheet name="Jan-26" sheetId="1" r:id="rId1"/>
    <sheet name="Feb-26" sheetId="2" r:id="rId2"/>
    <sheet name="Mar-26" sheetId="3" r:id="rId3"/>
    <sheet name="Apr-26" sheetId="4" r:id="rId4"/>
    <sheet name="May-26" sheetId="5" r:id="rId5"/>
  </sheets>
  <definedNames>
    <definedName name="_xlnm._FilterDatabase" localSheetId="3" hidden="1">'Apr-26'!$B$7:$I$311</definedName>
    <definedName name="_xlnm._FilterDatabase" localSheetId="1" hidden="1">'Feb-26'!$B$7:$I$285</definedName>
    <definedName name="_xlnm._FilterDatabase" localSheetId="0" hidden="1">'Jan-26'!$B$7:$I$207</definedName>
    <definedName name="_xlnm._FilterDatabase" localSheetId="2" hidden="1">'Mar-26'!$B$7:$I$297</definedName>
    <definedName name="_xlnm._FilterDatabase" localSheetId="4" hidden="1">'May-26'!$B$7:$I$330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0" i="1" l="1"/>
  <c r="E210" i="1"/>
  <c r="G206" i="1"/>
  <c r="H206" i="1" s="1"/>
  <c r="G204" i="1"/>
  <c r="H204" i="1" s="1"/>
  <c r="G202" i="1"/>
  <c r="H202" i="1" s="1"/>
  <c r="H201" i="1"/>
  <c r="G201" i="1"/>
  <c r="G200" i="1"/>
  <c r="H200" i="1" s="1"/>
  <c r="G199" i="1"/>
  <c r="H199" i="1" s="1"/>
  <c r="G197" i="1"/>
  <c r="H197" i="1" s="1"/>
  <c r="G196" i="1"/>
  <c r="H196" i="1" s="1"/>
  <c r="G195" i="1"/>
  <c r="H195" i="1" s="1"/>
  <c r="H194" i="1"/>
  <c r="G194" i="1"/>
  <c r="G192" i="1"/>
  <c r="H192" i="1" s="1"/>
  <c r="G191" i="1"/>
  <c r="H191" i="1" s="1"/>
  <c r="G190" i="1"/>
  <c r="H190" i="1" s="1"/>
  <c r="H189" i="1"/>
  <c r="G189" i="1"/>
  <c r="G188" i="1"/>
  <c r="H188" i="1" s="1"/>
  <c r="G186" i="1"/>
  <c r="H186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6" i="1"/>
  <c r="H146" i="1" s="1"/>
  <c r="G145" i="1"/>
  <c r="H145" i="1" s="1"/>
  <c r="G144" i="1"/>
  <c r="H144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0" i="1"/>
  <c r="H130" i="1" s="1"/>
  <c r="G129" i="1"/>
  <c r="H129" i="1" s="1"/>
  <c r="G128" i="1"/>
  <c r="H128" i="1" s="1"/>
  <c r="G127" i="1"/>
  <c r="H127" i="1" s="1"/>
  <c r="G126" i="1"/>
  <c r="H126" i="1" s="1"/>
  <c r="G124" i="1"/>
  <c r="H124" i="1" s="1"/>
  <c r="G123" i="1"/>
  <c r="H123" i="1" s="1"/>
  <c r="G121" i="1"/>
  <c r="H121" i="1" s="1"/>
  <c r="G120" i="1"/>
  <c r="H120" i="1" s="1"/>
  <c r="G118" i="1"/>
  <c r="H118" i="1" s="1"/>
  <c r="G116" i="1"/>
  <c r="H116" i="1" s="1"/>
  <c r="G114" i="1"/>
  <c r="H114" i="1" s="1"/>
  <c r="G113" i="1"/>
  <c r="H113" i="1" s="1"/>
  <c r="G112" i="1"/>
  <c r="H112" i="1" s="1"/>
  <c r="G111" i="1"/>
  <c r="H111" i="1" s="1"/>
  <c r="G110" i="1"/>
  <c r="H110" i="1" s="1"/>
  <c r="G108" i="1"/>
  <c r="H108" i="1" s="1"/>
  <c r="G106" i="1"/>
  <c r="H106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1" i="1"/>
  <c r="H81" i="1" s="1"/>
  <c r="G80" i="1"/>
  <c r="H80" i="1" s="1"/>
  <c r="G79" i="1"/>
  <c r="H79" i="1" s="1"/>
  <c r="G77" i="1"/>
  <c r="H77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7" i="1"/>
  <c r="H67" i="1" s="1"/>
  <c r="G66" i="1"/>
  <c r="H66" i="1" s="1"/>
  <c r="G65" i="1"/>
  <c r="H65" i="1" s="1"/>
  <c r="G64" i="1"/>
  <c r="H64" i="1" s="1"/>
  <c r="G62" i="1"/>
  <c r="H62" i="1" s="1"/>
  <c r="G61" i="1"/>
  <c r="H61" i="1" s="1"/>
  <c r="G60" i="1"/>
  <c r="H60" i="1" s="1"/>
  <c r="G59" i="1"/>
  <c r="H59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H49" i="1"/>
  <c r="G49" i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19" i="1"/>
  <c r="H19" i="1" s="1"/>
  <c r="H17" i="1"/>
  <c r="G17" i="1"/>
  <c r="G15" i="1"/>
  <c r="H15" i="1" s="1"/>
  <c r="G14" i="1"/>
  <c r="H14" i="1" s="1"/>
  <c r="G13" i="1"/>
  <c r="H13" i="1" s="1"/>
  <c r="G12" i="1"/>
  <c r="H12" i="1" s="1"/>
  <c r="G9" i="1"/>
  <c r="H9" i="1" s="1"/>
  <c r="F330" i="5"/>
  <c r="F333" i="5" s="1"/>
  <c r="D330" i="5"/>
  <c r="E330" i="5"/>
  <c r="E333" i="5" s="1"/>
  <c r="G329" i="5"/>
  <c r="H329" i="5" s="1"/>
  <c r="G327" i="5"/>
  <c r="H327" i="5" s="1"/>
  <c r="G326" i="5"/>
  <c r="H326" i="5" s="1"/>
  <c r="G324" i="5"/>
  <c r="H324" i="5" s="1"/>
  <c r="G322" i="5"/>
  <c r="H322" i="5" s="1"/>
  <c r="G320" i="5"/>
  <c r="H320" i="5" s="1"/>
  <c r="G318" i="5"/>
  <c r="H318" i="5" s="1"/>
  <c r="G317" i="5"/>
  <c r="H317" i="5" s="1"/>
  <c r="G316" i="5"/>
  <c r="H316" i="5" s="1"/>
  <c r="G315" i="5"/>
  <c r="H315" i="5" s="1"/>
  <c r="G314" i="5"/>
  <c r="H314" i="5" s="1"/>
  <c r="G312" i="5"/>
  <c r="H312" i="5" s="1"/>
  <c r="G311" i="5"/>
  <c r="H311" i="5" s="1"/>
  <c r="G310" i="5"/>
  <c r="H310" i="5" s="1"/>
  <c r="G309" i="5"/>
  <c r="H309" i="5" s="1"/>
  <c r="G308" i="5"/>
  <c r="H308" i="5" s="1"/>
  <c r="G307" i="5"/>
  <c r="H307" i="5" s="1"/>
  <c r="G306" i="5"/>
  <c r="H306" i="5" s="1"/>
  <c r="G305" i="5"/>
  <c r="H305" i="5" s="1"/>
  <c r="G304" i="5"/>
  <c r="H304" i="5" s="1"/>
  <c r="G303" i="5"/>
  <c r="H303" i="5" s="1"/>
  <c r="G301" i="5"/>
  <c r="H301" i="5" s="1"/>
  <c r="G300" i="5"/>
  <c r="H300" i="5" s="1"/>
  <c r="G299" i="5"/>
  <c r="H299" i="5" s="1"/>
  <c r="G298" i="5"/>
  <c r="H298" i="5" s="1"/>
  <c r="G297" i="5"/>
  <c r="H297" i="5" s="1"/>
  <c r="G296" i="5"/>
  <c r="H296" i="5" s="1"/>
  <c r="G295" i="5"/>
  <c r="H295" i="5" s="1"/>
  <c r="G294" i="5"/>
  <c r="H294" i="5" s="1"/>
  <c r="G293" i="5"/>
  <c r="H293" i="5" s="1"/>
  <c r="G292" i="5"/>
  <c r="H292" i="5" s="1"/>
  <c r="G290" i="5"/>
  <c r="H290" i="5" s="1"/>
  <c r="G289" i="5"/>
  <c r="H289" i="5" s="1"/>
  <c r="G288" i="5"/>
  <c r="H288" i="5" s="1"/>
  <c r="G287" i="5"/>
  <c r="H287" i="5" s="1"/>
  <c r="G285" i="5"/>
  <c r="H285" i="5" s="1"/>
  <c r="G284" i="5"/>
  <c r="H284" i="5" s="1"/>
  <c r="G283" i="5"/>
  <c r="H283" i="5" s="1"/>
  <c r="G282" i="5"/>
  <c r="H282" i="5" s="1"/>
  <c r="G281" i="5"/>
  <c r="H281" i="5" s="1"/>
  <c r="G280" i="5"/>
  <c r="H280" i="5" s="1"/>
  <c r="G279" i="5"/>
  <c r="H279" i="5" s="1"/>
  <c r="G278" i="5"/>
  <c r="H278" i="5" s="1"/>
  <c r="G277" i="5"/>
  <c r="H277" i="5" s="1"/>
  <c r="G276" i="5"/>
  <c r="H276" i="5" s="1"/>
  <c r="G275" i="5"/>
  <c r="H275" i="5" s="1"/>
  <c r="G274" i="5"/>
  <c r="H274" i="5" s="1"/>
  <c r="G272" i="5"/>
  <c r="H272" i="5" s="1"/>
  <c r="G271" i="5"/>
  <c r="H271" i="5" s="1"/>
  <c r="G270" i="5"/>
  <c r="H270" i="5" s="1"/>
  <c r="G269" i="5"/>
  <c r="H269" i="5" s="1"/>
  <c r="G268" i="5"/>
  <c r="H268" i="5" s="1"/>
  <c r="G267" i="5"/>
  <c r="H267" i="5" s="1"/>
  <c r="G266" i="5"/>
  <c r="H266" i="5" s="1"/>
  <c r="G265" i="5"/>
  <c r="H265" i="5" s="1"/>
  <c r="G263" i="5"/>
  <c r="H263" i="5" s="1"/>
  <c r="G262" i="5"/>
  <c r="H262" i="5" s="1"/>
  <c r="G261" i="5"/>
  <c r="H261" i="5" s="1"/>
  <c r="G260" i="5"/>
  <c r="H260" i="5" s="1"/>
  <c r="G259" i="5"/>
  <c r="H259" i="5" s="1"/>
  <c r="G258" i="5"/>
  <c r="H258" i="5" s="1"/>
  <c r="G257" i="5"/>
  <c r="H257" i="5" s="1"/>
  <c r="G256" i="5"/>
  <c r="H256" i="5" s="1"/>
  <c r="G255" i="5"/>
  <c r="H255" i="5" s="1"/>
  <c r="G254" i="5"/>
  <c r="H254" i="5" s="1"/>
  <c r="G253" i="5"/>
  <c r="H253" i="5" s="1"/>
  <c r="G252" i="5"/>
  <c r="H252" i="5" s="1"/>
  <c r="G251" i="5"/>
  <c r="H251" i="5" s="1"/>
  <c r="G250" i="5"/>
  <c r="H250" i="5" s="1"/>
  <c r="G249" i="5"/>
  <c r="H249" i="5" s="1"/>
  <c r="G248" i="5"/>
  <c r="H248" i="5" s="1"/>
  <c r="G247" i="5"/>
  <c r="H247" i="5" s="1"/>
  <c r="G246" i="5"/>
  <c r="H246" i="5" s="1"/>
  <c r="G245" i="5"/>
  <c r="H245" i="5" s="1"/>
  <c r="G244" i="5"/>
  <c r="H244" i="5" s="1"/>
  <c r="G243" i="5"/>
  <c r="H243" i="5" s="1"/>
  <c r="G242" i="5"/>
  <c r="H242" i="5" s="1"/>
  <c r="G241" i="5"/>
  <c r="H241" i="5" s="1"/>
  <c r="G240" i="5"/>
  <c r="H240" i="5" s="1"/>
  <c r="G239" i="5"/>
  <c r="H239" i="5" s="1"/>
  <c r="G237" i="5"/>
  <c r="H237" i="5" s="1"/>
  <c r="G236" i="5"/>
  <c r="H236" i="5" s="1"/>
  <c r="G235" i="5"/>
  <c r="H235" i="5" s="1"/>
  <c r="G234" i="5"/>
  <c r="H234" i="5" s="1"/>
  <c r="G233" i="5"/>
  <c r="H233" i="5" s="1"/>
  <c r="G232" i="5"/>
  <c r="H232" i="5" s="1"/>
  <c r="G231" i="5"/>
  <c r="H231" i="5" s="1"/>
  <c r="G229" i="5"/>
  <c r="H229" i="5" s="1"/>
  <c r="G228" i="5"/>
  <c r="H228" i="5" s="1"/>
  <c r="G227" i="5"/>
  <c r="H227" i="5" s="1"/>
  <c r="G225" i="5"/>
  <c r="H225" i="5" s="1"/>
  <c r="G224" i="5"/>
  <c r="H224" i="5" s="1"/>
  <c r="G223" i="5"/>
  <c r="H223" i="5" s="1"/>
  <c r="G222" i="5"/>
  <c r="H222" i="5" s="1"/>
  <c r="G221" i="5"/>
  <c r="H221" i="5" s="1"/>
  <c r="G220" i="5"/>
  <c r="H220" i="5" s="1"/>
  <c r="G219" i="5"/>
  <c r="H219" i="5" s="1"/>
  <c r="G218" i="5"/>
  <c r="H218" i="5" s="1"/>
  <c r="G217" i="5"/>
  <c r="H217" i="5" s="1"/>
  <c r="G216" i="5"/>
  <c r="H216" i="5" s="1"/>
  <c r="G215" i="5"/>
  <c r="H215" i="5" s="1"/>
  <c r="G214" i="5"/>
  <c r="H214" i="5" s="1"/>
  <c r="G213" i="5"/>
  <c r="H213" i="5" s="1"/>
  <c r="G212" i="5"/>
  <c r="H212" i="5" s="1"/>
  <c r="G211" i="5"/>
  <c r="H211" i="5" s="1"/>
  <c r="G209" i="5"/>
  <c r="H209" i="5" s="1"/>
  <c r="G208" i="5"/>
  <c r="H208" i="5" s="1"/>
  <c r="G207" i="5"/>
  <c r="H207" i="5" s="1"/>
  <c r="G206" i="5"/>
  <c r="H206" i="5" s="1"/>
  <c r="G205" i="5"/>
  <c r="H205" i="5" s="1"/>
  <c r="G204" i="5"/>
  <c r="H204" i="5" s="1"/>
  <c r="G203" i="5"/>
  <c r="H203" i="5" s="1"/>
  <c r="G202" i="5"/>
  <c r="H202" i="5" s="1"/>
  <c r="G201" i="5"/>
  <c r="H201" i="5" s="1"/>
  <c r="G200" i="5"/>
  <c r="H200" i="5" s="1"/>
  <c r="G198" i="5"/>
  <c r="H198" i="5" s="1"/>
  <c r="G197" i="5"/>
  <c r="H197" i="5" s="1"/>
  <c r="G195" i="5"/>
  <c r="H195" i="5" s="1"/>
  <c r="G194" i="5"/>
  <c r="H194" i="5" s="1"/>
  <c r="G192" i="5"/>
  <c r="H192" i="5" s="1"/>
  <c r="G190" i="5"/>
  <c r="H190" i="5" s="1"/>
  <c r="G188" i="5"/>
  <c r="H188" i="5" s="1"/>
  <c r="G187" i="5"/>
  <c r="H187" i="5" s="1"/>
  <c r="G185" i="5"/>
  <c r="H185" i="5" s="1"/>
  <c r="G183" i="5"/>
  <c r="H183" i="5" s="1"/>
  <c r="G181" i="5"/>
  <c r="H181" i="5" s="1"/>
  <c r="G180" i="5"/>
  <c r="H180" i="5" s="1"/>
  <c r="G179" i="5"/>
  <c r="H179" i="5" s="1"/>
  <c r="G178" i="5"/>
  <c r="H178" i="5" s="1"/>
  <c r="G177" i="5"/>
  <c r="H177" i="5" s="1"/>
  <c r="G176" i="5"/>
  <c r="H176" i="5" s="1"/>
  <c r="G175" i="5"/>
  <c r="H175" i="5" s="1"/>
  <c r="G174" i="5"/>
  <c r="H174" i="5" s="1"/>
  <c r="G172" i="5"/>
  <c r="H172" i="5" s="1"/>
  <c r="G171" i="5"/>
  <c r="H171" i="5" s="1"/>
  <c r="G169" i="5"/>
  <c r="H169" i="5" s="1"/>
  <c r="G168" i="5"/>
  <c r="H168" i="5" s="1"/>
  <c r="G167" i="5"/>
  <c r="H167" i="5" s="1"/>
  <c r="G165" i="5"/>
  <c r="H165" i="5" s="1"/>
  <c r="G164" i="5"/>
  <c r="H164" i="5" s="1"/>
  <c r="G163" i="5"/>
  <c r="H163" i="5" s="1"/>
  <c r="G162" i="5"/>
  <c r="H162" i="5" s="1"/>
  <c r="G161" i="5"/>
  <c r="H161" i="5" s="1"/>
  <c r="G160" i="5"/>
  <c r="H160" i="5" s="1"/>
  <c r="G159" i="5"/>
  <c r="H159" i="5" s="1"/>
  <c r="G158" i="5"/>
  <c r="H158" i="5" s="1"/>
  <c r="G157" i="5"/>
  <c r="H157" i="5" s="1"/>
  <c r="G156" i="5"/>
  <c r="H156" i="5" s="1"/>
  <c r="G155" i="5"/>
  <c r="H155" i="5" s="1"/>
  <c r="G154" i="5"/>
  <c r="H154" i="5" s="1"/>
  <c r="G153" i="5"/>
  <c r="H153" i="5" s="1"/>
  <c r="G152" i="5"/>
  <c r="H152" i="5" s="1"/>
  <c r="G151" i="5"/>
  <c r="H151" i="5" s="1"/>
  <c r="G150" i="5"/>
  <c r="H150" i="5" s="1"/>
  <c r="G149" i="5"/>
  <c r="H149" i="5" s="1"/>
  <c r="G148" i="5"/>
  <c r="H148" i="5" s="1"/>
  <c r="G147" i="5"/>
  <c r="H147" i="5" s="1"/>
  <c r="G146" i="5"/>
  <c r="H146" i="5" s="1"/>
  <c r="G145" i="5"/>
  <c r="H145" i="5" s="1"/>
  <c r="G144" i="5"/>
  <c r="H144" i="5" s="1"/>
  <c r="G143" i="5"/>
  <c r="H143" i="5" s="1"/>
  <c r="G142" i="5"/>
  <c r="H142" i="5" s="1"/>
  <c r="G141" i="5"/>
  <c r="H141" i="5" s="1"/>
  <c r="G140" i="5"/>
  <c r="H140" i="5" s="1"/>
  <c r="G139" i="5"/>
  <c r="H139" i="5" s="1"/>
  <c r="G138" i="5"/>
  <c r="H138" i="5" s="1"/>
  <c r="G137" i="5"/>
  <c r="H137" i="5" s="1"/>
  <c r="G136" i="5"/>
  <c r="H136" i="5" s="1"/>
  <c r="G135" i="5"/>
  <c r="H135" i="5" s="1"/>
  <c r="G134" i="5"/>
  <c r="H134" i="5" s="1"/>
  <c r="G133" i="5"/>
  <c r="H133" i="5" s="1"/>
  <c r="G132" i="5"/>
  <c r="H132" i="5" s="1"/>
  <c r="G131" i="5"/>
  <c r="H131" i="5" s="1"/>
  <c r="G130" i="5"/>
  <c r="H130" i="5" s="1"/>
  <c r="G129" i="5"/>
  <c r="H129" i="5" s="1"/>
  <c r="G128" i="5"/>
  <c r="H128" i="5" s="1"/>
  <c r="G127" i="5"/>
  <c r="H127" i="5" s="1"/>
  <c r="G125" i="5"/>
  <c r="H125" i="5" s="1"/>
  <c r="G124" i="5"/>
  <c r="H124" i="5" s="1"/>
  <c r="G123" i="5"/>
  <c r="H123" i="5" s="1"/>
  <c r="G122" i="5"/>
  <c r="H122" i="5" s="1"/>
  <c r="G121" i="5"/>
  <c r="H121" i="5" s="1"/>
  <c r="G120" i="5"/>
  <c r="H120" i="5" s="1"/>
  <c r="G119" i="5"/>
  <c r="H119" i="5" s="1"/>
  <c r="G117" i="5"/>
  <c r="H117" i="5" s="1"/>
  <c r="G116" i="5"/>
  <c r="H116" i="5" s="1"/>
  <c r="G115" i="5"/>
  <c r="H115" i="5" s="1"/>
  <c r="G114" i="5"/>
  <c r="H114" i="5" s="1"/>
  <c r="G113" i="5"/>
  <c r="H113" i="5" s="1"/>
  <c r="G111" i="5"/>
  <c r="H111" i="5" s="1"/>
  <c r="G110" i="5"/>
  <c r="H110" i="5" s="1"/>
  <c r="G109" i="5"/>
  <c r="H109" i="5" s="1"/>
  <c r="G107" i="5"/>
  <c r="H107" i="5" s="1"/>
  <c r="G106" i="5"/>
  <c r="H106" i="5" s="1"/>
  <c r="G105" i="5"/>
  <c r="H105" i="5" s="1"/>
  <c r="G104" i="5"/>
  <c r="H104" i="5" s="1"/>
  <c r="G103" i="5"/>
  <c r="H103" i="5" s="1"/>
  <c r="G102" i="5"/>
  <c r="H102" i="5" s="1"/>
  <c r="G101" i="5"/>
  <c r="H101" i="5" s="1"/>
  <c r="G99" i="5"/>
  <c r="H99" i="5" s="1"/>
  <c r="G98" i="5"/>
  <c r="H98" i="5" s="1"/>
  <c r="G97" i="5"/>
  <c r="H97" i="5" s="1"/>
  <c r="G96" i="5"/>
  <c r="H96" i="5" s="1"/>
  <c r="G95" i="5"/>
  <c r="H95" i="5" s="1"/>
  <c r="G94" i="5"/>
  <c r="H94" i="5" s="1"/>
  <c r="G93" i="5"/>
  <c r="H93" i="5" s="1"/>
  <c r="G92" i="5"/>
  <c r="H92" i="5" s="1"/>
  <c r="G90" i="5"/>
  <c r="H90" i="5" s="1"/>
  <c r="G89" i="5"/>
  <c r="H89" i="5" s="1"/>
  <c r="G88" i="5"/>
  <c r="H88" i="5" s="1"/>
  <c r="G87" i="5"/>
  <c r="H87" i="5" s="1"/>
  <c r="G86" i="5"/>
  <c r="H86" i="5" s="1"/>
  <c r="G84" i="5"/>
  <c r="H84" i="5" s="1"/>
  <c r="G83" i="5"/>
  <c r="H83" i="5" s="1"/>
  <c r="G82" i="5"/>
  <c r="H82" i="5" s="1"/>
  <c r="G81" i="5"/>
  <c r="H81" i="5" s="1"/>
  <c r="G80" i="5"/>
  <c r="H80" i="5" s="1"/>
  <c r="G78" i="5"/>
  <c r="H78" i="5" s="1"/>
  <c r="G77" i="5"/>
  <c r="H77" i="5" s="1"/>
  <c r="G76" i="5"/>
  <c r="H76" i="5" s="1"/>
  <c r="G75" i="5"/>
  <c r="H75" i="5" s="1"/>
  <c r="G74" i="5"/>
  <c r="H74" i="5" s="1"/>
  <c r="G73" i="5"/>
  <c r="H73" i="5" s="1"/>
  <c r="G72" i="5"/>
  <c r="H72" i="5" s="1"/>
  <c r="G71" i="5"/>
  <c r="H71" i="5" s="1"/>
  <c r="G70" i="5"/>
  <c r="H70" i="5" s="1"/>
  <c r="G69" i="5"/>
  <c r="H69" i="5" s="1"/>
  <c r="G68" i="5"/>
  <c r="H68" i="5" s="1"/>
  <c r="G67" i="5"/>
  <c r="H67" i="5" s="1"/>
  <c r="G66" i="5"/>
  <c r="H66" i="5" s="1"/>
  <c r="G65" i="5"/>
  <c r="H65" i="5" s="1"/>
  <c r="G64" i="5"/>
  <c r="H64" i="5" s="1"/>
  <c r="G63" i="5"/>
  <c r="H63" i="5" s="1"/>
  <c r="G62" i="5"/>
  <c r="H62" i="5" s="1"/>
  <c r="G61" i="5"/>
  <c r="H61" i="5" s="1"/>
  <c r="G60" i="5"/>
  <c r="H60" i="5" s="1"/>
  <c r="G59" i="5"/>
  <c r="H59" i="5" s="1"/>
  <c r="G58" i="5"/>
  <c r="H58" i="5" s="1"/>
  <c r="G57" i="5"/>
  <c r="H57" i="5" s="1"/>
  <c r="G56" i="5"/>
  <c r="H56" i="5" s="1"/>
  <c r="G55" i="5"/>
  <c r="H55" i="5" s="1"/>
  <c r="G54" i="5"/>
  <c r="H54" i="5" s="1"/>
  <c r="G53" i="5"/>
  <c r="H53" i="5" s="1"/>
  <c r="G52" i="5"/>
  <c r="H52" i="5" s="1"/>
  <c r="G51" i="5"/>
  <c r="H51" i="5" s="1"/>
  <c r="G50" i="5"/>
  <c r="H50" i="5" s="1"/>
  <c r="G49" i="5"/>
  <c r="H49" i="5" s="1"/>
  <c r="G48" i="5"/>
  <c r="H48" i="5" s="1"/>
  <c r="G47" i="5"/>
  <c r="H47" i="5" s="1"/>
  <c r="G46" i="5"/>
  <c r="H46" i="5" s="1"/>
  <c r="G45" i="5"/>
  <c r="H45" i="5" s="1"/>
  <c r="G44" i="5"/>
  <c r="H44" i="5" s="1"/>
  <c r="G43" i="5"/>
  <c r="H43" i="5" s="1"/>
  <c r="G42" i="5"/>
  <c r="H42" i="5" s="1"/>
  <c r="G41" i="5"/>
  <c r="H41" i="5" s="1"/>
  <c r="G40" i="5"/>
  <c r="H40" i="5" s="1"/>
  <c r="G39" i="5"/>
  <c r="H39" i="5" s="1"/>
  <c r="G38" i="5"/>
  <c r="H38" i="5" s="1"/>
  <c r="G37" i="5"/>
  <c r="H37" i="5" s="1"/>
  <c r="G36" i="5"/>
  <c r="H36" i="5" s="1"/>
  <c r="G35" i="5"/>
  <c r="H35" i="5" s="1"/>
  <c r="G34" i="5"/>
  <c r="H34" i="5" s="1"/>
  <c r="G33" i="5"/>
  <c r="H33" i="5" s="1"/>
  <c r="G32" i="5"/>
  <c r="H32" i="5" s="1"/>
  <c r="G31" i="5"/>
  <c r="H31" i="5" s="1"/>
  <c r="G30" i="5"/>
  <c r="H30" i="5" s="1"/>
  <c r="G29" i="5"/>
  <c r="H29" i="5" s="1"/>
  <c r="G28" i="5"/>
  <c r="H28" i="5" s="1"/>
  <c r="G27" i="5"/>
  <c r="H27" i="5" s="1"/>
  <c r="G26" i="5"/>
  <c r="H26" i="5" s="1"/>
  <c r="G25" i="5"/>
  <c r="H25" i="5" s="1"/>
  <c r="G24" i="5"/>
  <c r="H24" i="5" s="1"/>
  <c r="G23" i="5"/>
  <c r="H23" i="5" s="1"/>
  <c r="G21" i="5"/>
  <c r="H21" i="5" s="1"/>
  <c r="G19" i="5"/>
  <c r="H19" i="5" s="1"/>
  <c r="G18" i="5"/>
  <c r="H18" i="5" s="1"/>
  <c r="G17" i="5"/>
  <c r="H17" i="5" s="1"/>
  <c r="G15" i="5"/>
  <c r="H15" i="5" s="1"/>
  <c r="G14" i="5"/>
  <c r="H14" i="5" s="1"/>
  <c r="G13" i="5"/>
  <c r="H13" i="5" s="1"/>
  <c r="G12" i="5"/>
  <c r="H12" i="5" s="1"/>
  <c r="G9" i="5"/>
  <c r="H9" i="5" s="1"/>
  <c r="F311" i="4"/>
  <c r="F314" i="4" s="1"/>
  <c r="D311" i="4"/>
  <c r="E311" i="4"/>
  <c r="E314" i="4" s="1"/>
  <c r="G310" i="4"/>
  <c r="H310" i="4" s="1"/>
  <c r="G308" i="4"/>
  <c r="H308" i="4" s="1"/>
  <c r="G307" i="4"/>
  <c r="H307" i="4" s="1"/>
  <c r="G305" i="4"/>
  <c r="H305" i="4" s="1"/>
  <c r="G303" i="4"/>
  <c r="H303" i="4" s="1"/>
  <c r="G301" i="4"/>
  <c r="H301" i="4" s="1"/>
  <c r="G300" i="4"/>
  <c r="H300" i="4" s="1"/>
  <c r="G299" i="4"/>
  <c r="H299" i="4" s="1"/>
  <c r="G298" i="4"/>
  <c r="H298" i="4" s="1"/>
  <c r="G297" i="4"/>
  <c r="H297" i="4" s="1"/>
  <c r="G295" i="4"/>
  <c r="H295" i="4" s="1"/>
  <c r="G294" i="4"/>
  <c r="H294" i="4" s="1"/>
  <c r="G293" i="4"/>
  <c r="H293" i="4" s="1"/>
  <c r="G292" i="4"/>
  <c r="H292" i="4" s="1"/>
  <c r="G291" i="4"/>
  <c r="H291" i="4" s="1"/>
  <c r="G290" i="4"/>
  <c r="H290" i="4" s="1"/>
  <c r="G289" i="4"/>
  <c r="H289" i="4" s="1"/>
  <c r="G288" i="4"/>
  <c r="H288" i="4" s="1"/>
  <c r="G286" i="4"/>
  <c r="H286" i="4" s="1"/>
  <c r="G285" i="4"/>
  <c r="H285" i="4" s="1"/>
  <c r="G284" i="4"/>
  <c r="H284" i="4" s="1"/>
  <c r="G283" i="4"/>
  <c r="H283" i="4" s="1"/>
  <c r="G282" i="4"/>
  <c r="H282" i="4" s="1"/>
  <c r="G281" i="4"/>
  <c r="H281" i="4" s="1"/>
  <c r="G280" i="4"/>
  <c r="H280" i="4" s="1"/>
  <c r="G279" i="4"/>
  <c r="H279" i="4" s="1"/>
  <c r="G278" i="4"/>
  <c r="H278" i="4" s="1"/>
  <c r="G276" i="4"/>
  <c r="H276" i="4" s="1"/>
  <c r="G275" i="4"/>
  <c r="H275" i="4" s="1"/>
  <c r="G274" i="4"/>
  <c r="H274" i="4" s="1"/>
  <c r="G272" i="4"/>
  <c r="H272" i="4" s="1"/>
  <c r="G271" i="4"/>
  <c r="H271" i="4" s="1"/>
  <c r="G270" i="4"/>
  <c r="H270" i="4" s="1"/>
  <c r="G269" i="4"/>
  <c r="H269" i="4" s="1"/>
  <c r="G268" i="4"/>
  <c r="H268" i="4" s="1"/>
  <c r="G267" i="4"/>
  <c r="H267" i="4" s="1"/>
  <c r="G266" i="4"/>
  <c r="H266" i="4" s="1"/>
  <c r="G265" i="4"/>
  <c r="H265" i="4" s="1"/>
  <c r="G264" i="4"/>
  <c r="H264" i="4" s="1"/>
  <c r="G263" i="4"/>
  <c r="H263" i="4" s="1"/>
  <c r="G262" i="4"/>
  <c r="H262" i="4" s="1"/>
  <c r="G261" i="4"/>
  <c r="H261" i="4" s="1"/>
  <c r="G259" i="4"/>
  <c r="H259" i="4" s="1"/>
  <c r="G258" i="4"/>
  <c r="H258" i="4" s="1"/>
  <c r="G257" i="4"/>
  <c r="H257" i="4" s="1"/>
  <c r="G256" i="4"/>
  <c r="H256" i="4" s="1"/>
  <c r="G255" i="4"/>
  <c r="H255" i="4" s="1"/>
  <c r="G254" i="4"/>
  <c r="H254" i="4" s="1"/>
  <c r="G253" i="4"/>
  <c r="H253" i="4" s="1"/>
  <c r="G251" i="4"/>
  <c r="H251" i="4" s="1"/>
  <c r="G250" i="4"/>
  <c r="H250" i="4" s="1"/>
  <c r="G249" i="4"/>
  <c r="H249" i="4" s="1"/>
  <c r="G248" i="4"/>
  <c r="H248" i="4" s="1"/>
  <c r="G247" i="4"/>
  <c r="H247" i="4" s="1"/>
  <c r="G246" i="4"/>
  <c r="H246" i="4" s="1"/>
  <c r="G245" i="4"/>
  <c r="H245" i="4" s="1"/>
  <c r="G244" i="4"/>
  <c r="H244" i="4" s="1"/>
  <c r="G243" i="4"/>
  <c r="H243" i="4" s="1"/>
  <c r="G242" i="4"/>
  <c r="H242" i="4" s="1"/>
  <c r="G241" i="4"/>
  <c r="H241" i="4" s="1"/>
  <c r="G240" i="4"/>
  <c r="H240" i="4" s="1"/>
  <c r="G239" i="4"/>
  <c r="H239" i="4" s="1"/>
  <c r="G238" i="4"/>
  <c r="H238" i="4" s="1"/>
  <c r="G237" i="4"/>
  <c r="H237" i="4" s="1"/>
  <c r="G236" i="4"/>
  <c r="H236" i="4" s="1"/>
  <c r="G235" i="4"/>
  <c r="H235" i="4" s="1"/>
  <c r="G234" i="4"/>
  <c r="H234" i="4" s="1"/>
  <c r="G233" i="4"/>
  <c r="H233" i="4" s="1"/>
  <c r="G232" i="4"/>
  <c r="H232" i="4" s="1"/>
  <c r="G231" i="4"/>
  <c r="H231" i="4" s="1"/>
  <c r="G229" i="4"/>
  <c r="H229" i="4" s="1"/>
  <c r="G228" i="4"/>
  <c r="H228" i="4" s="1"/>
  <c r="G227" i="4"/>
  <c r="H227" i="4" s="1"/>
  <c r="G226" i="4"/>
  <c r="H226" i="4" s="1"/>
  <c r="G225" i="4"/>
  <c r="H225" i="4" s="1"/>
  <c r="G224" i="4"/>
  <c r="H224" i="4" s="1"/>
  <c r="G223" i="4"/>
  <c r="H223" i="4" s="1"/>
  <c r="G221" i="4"/>
  <c r="H221" i="4" s="1"/>
  <c r="G220" i="4"/>
  <c r="H220" i="4" s="1"/>
  <c r="G219" i="4"/>
  <c r="H219" i="4" s="1"/>
  <c r="G217" i="4"/>
  <c r="H217" i="4" s="1"/>
  <c r="G216" i="4"/>
  <c r="H216" i="4" s="1"/>
  <c r="G215" i="4"/>
  <c r="H215" i="4" s="1"/>
  <c r="G214" i="4"/>
  <c r="H214" i="4" s="1"/>
  <c r="G213" i="4"/>
  <c r="H213" i="4" s="1"/>
  <c r="G212" i="4"/>
  <c r="H212" i="4" s="1"/>
  <c r="G211" i="4"/>
  <c r="H211" i="4" s="1"/>
  <c r="G210" i="4"/>
  <c r="H210" i="4" s="1"/>
  <c r="G209" i="4"/>
  <c r="H209" i="4" s="1"/>
  <c r="G208" i="4"/>
  <c r="H208" i="4" s="1"/>
  <c r="G207" i="4"/>
  <c r="H207" i="4" s="1"/>
  <c r="G206" i="4"/>
  <c r="H206" i="4" s="1"/>
  <c r="G205" i="4"/>
  <c r="H205" i="4" s="1"/>
  <c r="G203" i="4"/>
  <c r="H203" i="4" s="1"/>
  <c r="G202" i="4"/>
  <c r="H202" i="4" s="1"/>
  <c r="G201" i="4"/>
  <c r="H201" i="4" s="1"/>
  <c r="G200" i="4"/>
  <c r="H200" i="4" s="1"/>
  <c r="G199" i="4"/>
  <c r="H199" i="4" s="1"/>
  <c r="G198" i="4"/>
  <c r="H198" i="4" s="1"/>
  <c r="G197" i="4"/>
  <c r="H197" i="4" s="1"/>
  <c r="G196" i="4"/>
  <c r="H196" i="4" s="1"/>
  <c r="G195" i="4"/>
  <c r="H195" i="4" s="1"/>
  <c r="G194" i="4"/>
  <c r="H194" i="4" s="1"/>
  <c r="G192" i="4"/>
  <c r="H192" i="4" s="1"/>
  <c r="G191" i="4"/>
  <c r="H191" i="4" s="1"/>
  <c r="G189" i="4"/>
  <c r="H189" i="4" s="1"/>
  <c r="G188" i="4"/>
  <c r="H188" i="4" s="1"/>
  <c r="G186" i="4"/>
  <c r="H186" i="4" s="1"/>
  <c r="G184" i="4"/>
  <c r="H184" i="4" s="1"/>
  <c r="G183" i="4"/>
  <c r="H183" i="4" s="1"/>
  <c r="G181" i="4"/>
  <c r="H181" i="4" s="1"/>
  <c r="G179" i="4"/>
  <c r="H179" i="4" s="1"/>
  <c r="G178" i="4"/>
  <c r="H178" i="4" s="1"/>
  <c r="G177" i="4"/>
  <c r="H177" i="4" s="1"/>
  <c r="G176" i="4"/>
  <c r="H176" i="4" s="1"/>
  <c r="G175" i="4"/>
  <c r="H175" i="4" s="1"/>
  <c r="G174" i="4"/>
  <c r="H174" i="4" s="1"/>
  <c r="G173" i="4"/>
  <c r="H173" i="4" s="1"/>
  <c r="G172" i="4"/>
  <c r="H172" i="4" s="1"/>
  <c r="G170" i="4"/>
  <c r="H170" i="4" s="1"/>
  <c r="G169" i="4"/>
  <c r="H169" i="4" s="1"/>
  <c r="G167" i="4"/>
  <c r="H167" i="4" s="1"/>
  <c r="G166" i="4"/>
  <c r="H166" i="4" s="1"/>
  <c r="G165" i="4"/>
  <c r="H165" i="4" s="1"/>
  <c r="G163" i="4"/>
  <c r="H163" i="4" s="1"/>
  <c r="G162" i="4"/>
  <c r="H162" i="4" s="1"/>
  <c r="G161" i="4"/>
  <c r="H161" i="4" s="1"/>
  <c r="G160" i="4"/>
  <c r="H160" i="4" s="1"/>
  <c r="G159" i="4"/>
  <c r="H159" i="4" s="1"/>
  <c r="G158" i="4"/>
  <c r="H158" i="4" s="1"/>
  <c r="G157" i="4"/>
  <c r="H157" i="4" s="1"/>
  <c r="G156" i="4"/>
  <c r="H156" i="4" s="1"/>
  <c r="G155" i="4"/>
  <c r="H155" i="4" s="1"/>
  <c r="G154" i="4"/>
  <c r="H154" i="4" s="1"/>
  <c r="G153" i="4"/>
  <c r="H153" i="4" s="1"/>
  <c r="G152" i="4"/>
  <c r="H152" i="4" s="1"/>
  <c r="G151" i="4"/>
  <c r="H151" i="4" s="1"/>
  <c r="G150" i="4"/>
  <c r="H150" i="4" s="1"/>
  <c r="G149" i="4"/>
  <c r="H149" i="4" s="1"/>
  <c r="G148" i="4"/>
  <c r="H148" i="4" s="1"/>
  <c r="G147" i="4"/>
  <c r="H147" i="4" s="1"/>
  <c r="G146" i="4"/>
  <c r="H146" i="4" s="1"/>
  <c r="G145" i="4"/>
  <c r="H145" i="4" s="1"/>
  <c r="G144" i="4"/>
  <c r="H144" i="4" s="1"/>
  <c r="G143" i="4"/>
  <c r="H143" i="4" s="1"/>
  <c r="G142" i="4"/>
  <c r="H142" i="4" s="1"/>
  <c r="G141" i="4"/>
  <c r="H141" i="4" s="1"/>
  <c r="G140" i="4"/>
  <c r="H140" i="4" s="1"/>
  <c r="G139" i="4"/>
  <c r="H139" i="4" s="1"/>
  <c r="G138" i="4"/>
  <c r="H138" i="4" s="1"/>
  <c r="G137" i="4"/>
  <c r="H137" i="4" s="1"/>
  <c r="G136" i="4"/>
  <c r="H136" i="4" s="1"/>
  <c r="G135" i="4"/>
  <c r="H135" i="4" s="1"/>
  <c r="G134" i="4"/>
  <c r="H134" i="4" s="1"/>
  <c r="G133" i="4"/>
  <c r="H133" i="4" s="1"/>
  <c r="G132" i="4"/>
  <c r="H132" i="4" s="1"/>
  <c r="G131" i="4"/>
  <c r="H131" i="4" s="1"/>
  <c r="G130" i="4"/>
  <c r="H130" i="4" s="1"/>
  <c r="G129" i="4"/>
  <c r="H129" i="4" s="1"/>
  <c r="G128" i="4"/>
  <c r="H128" i="4" s="1"/>
  <c r="G127" i="4"/>
  <c r="H127" i="4" s="1"/>
  <c r="G126" i="4"/>
  <c r="H126" i="4" s="1"/>
  <c r="G125" i="4"/>
  <c r="H125" i="4" s="1"/>
  <c r="G124" i="4"/>
  <c r="H124" i="4" s="1"/>
  <c r="G123" i="4"/>
  <c r="H123" i="4" s="1"/>
  <c r="G122" i="4"/>
  <c r="H122" i="4" s="1"/>
  <c r="G120" i="4"/>
  <c r="H120" i="4" s="1"/>
  <c r="G119" i="4"/>
  <c r="H119" i="4" s="1"/>
  <c r="G118" i="4"/>
  <c r="H118" i="4" s="1"/>
  <c r="G117" i="4"/>
  <c r="H117" i="4" s="1"/>
  <c r="G116" i="4"/>
  <c r="H116" i="4" s="1"/>
  <c r="G115" i="4"/>
  <c r="H115" i="4" s="1"/>
  <c r="G114" i="4"/>
  <c r="H114" i="4" s="1"/>
  <c r="G112" i="4"/>
  <c r="H112" i="4" s="1"/>
  <c r="G111" i="4"/>
  <c r="H111" i="4" s="1"/>
  <c r="G110" i="4"/>
  <c r="H110" i="4" s="1"/>
  <c r="G108" i="4"/>
  <c r="H108" i="4" s="1"/>
  <c r="G107" i="4"/>
  <c r="H107" i="4" s="1"/>
  <c r="G106" i="4"/>
  <c r="H106" i="4" s="1"/>
  <c r="G104" i="4"/>
  <c r="H104" i="4" s="1"/>
  <c r="G103" i="4"/>
  <c r="H103" i="4" s="1"/>
  <c r="G102" i="4"/>
  <c r="H102" i="4" s="1"/>
  <c r="G101" i="4"/>
  <c r="H101" i="4" s="1"/>
  <c r="G100" i="4"/>
  <c r="H100" i="4" s="1"/>
  <c r="G99" i="4"/>
  <c r="H99" i="4" s="1"/>
  <c r="G97" i="4"/>
  <c r="H97" i="4" s="1"/>
  <c r="G96" i="4"/>
  <c r="H96" i="4" s="1"/>
  <c r="G95" i="4"/>
  <c r="H95" i="4" s="1"/>
  <c r="G94" i="4"/>
  <c r="H94" i="4" s="1"/>
  <c r="G93" i="4"/>
  <c r="H93" i="4" s="1"/>
  <c r="G92" i="4"/>
  <c r="H92" i="4" s="1"/>
  <c r="G91" i="4"/>
  <c r="H91" i="4" s="1"/>
  <c r="G90" i="4"/>
  <c r="H90" i="4" s="1"/>
  <c r="G89" i="4"/>
  <c r="H89" i="4" s="1"/>
  <c r="G87" i="4"/>
  <c r="H87" i="4" s="1"/>
  <c r="G86" i="4"/>
  <c r="H86" i="4" s="1"/>
  <c r="G85" i="4"/>
  <c r="H85" i="4" s="1"/>
  <c r="G84" i="4"/>
  <c r="H84" i="4" s="1"/>
  <c r="G83" i="4"/>
  <c r="H83" i="4" s="1"/>
  <c r="G81" i="4"/>
  <c r="H81" i="4" s="1"/>
  <c r="G80" i="4"/>
  <c r="H80" i="4" s="1"/>
  <c r="G79" i="4"/>
  <c r="H79" i="4" s="1"/>
  <c r="G78" i="4"/>
  <c r="H78" i="4" s="1"/>
  <c r="G76" i="4"/>
  <c r="H76" i="4" s="1"/>
  <c r="G75" i="4"/>
  <c r="H75" i="4" s="1"/>
  <c r="G74" i="4"/>
  <c r="H74" i="4" s="1"/>
  <c r="G73" i="4"/>
  <c r="H73" i="4" s="1"/>
  <c r="G72" i="4"/>
  <c r="H72" i="4" s="1"/>
  <c r="G71" i="4"/>
  <c r="H71" i="4" s="1"/>
  <c r="G70" i="4"/>
  <c r="H70" i="4" s="1"/>
  <c r="G69" i="4"/>
  <c r="H69" i="4" s="1"/>
  <c r="G68" i="4"/>
  <c r="H68" i="4" s="1"/>
  <c r="G67" i="4"/>
  <c r="H67" i="4" s="1"/>
  <c r="G66" i="4"/>
  <c r="H66" i="4" s="1"/>
  <c r="G65" i="4"/>
  <c r="H65" i="4" s="1"/>
  <c r="G64" i="4"/>
  <c r="H64" i="4" s="1"/>
  <c r="G63" i="4"/>
  <c r="H63" i="4" s="1"/>
  <c r="G62" i="4"/>
  <c r="H62" i="4" s="1"/>
  <c r="G61" i="4"/>
  <c r="H61" i="4" s="1"/>
  <c r="G60" i="4"/>
  <c r="H60" i="4" s="1"/>
  <c r="G59" i="4"/>
  <c r="H59" i="4" s="1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1" i="4"/>
  <c r="H21" i="4" s="1"/>
  <c r="G19" i="4"/>
  <c r="H19" i="4" s="1"/>
  <c r="G18" i="4"/>
  <c r="H18" i="4" s="1"/>
  <c r="G17" i="4"/>
  <c r="H17" i="4" s="1"/>
  <c r="G15" i="4"/>
  <c r="H15" i="4" s="1"/>
  <c r="G14" i="4"/>
  <c r="H14" i="4" s="1"/>
  <c r="G13" i="4"/>
  <c r="H13" i="4" s="1"/>
  <c r="G12" i="4"/>
  <c r="H12" i="4" s="1"/>
  <c r="G9" i="4"/>
  <c r="H9" i="4" s="1"/>
  <c r="H297" i="3"/>
  <c r="F297" i="3"/>
  <c r="F300" i="3" s="1"/>
  <c r="E297" i="3"/>
  <c r="E300" i="3" s="1"/>
  <c r="D297" i="3"/>
  <c r="G296" i="3"/>
  <c r="H296" i="3" s="1"/>
  <c r="G294" i="3"/>
  <c r="H294" i="3" s="1"/>
  <c r="G293" i="3"/>
  <c r="H293" i="3" s="1"/>
  <c r="G291" i="3"/>
  <c r="H291" i="3" s="1"/>
  <c r="G289" i="3"/>
  <c r="H289" i="3" s="1"/>
  <c r="G288" i="3"/>
  <c r="H288" i="3" s="1"/>
  <c r="G287" i="3"/>
  <c r="H287" i="3" s="1"/>
  <c r="G286" i="3"/>
  <c r="H286" i="3" s="1"/>
  <c r="G285" i="3"/>
  <c r="H285" i="3" s="1"/>
  <c r="G283" i="3"/>
  <c r="H283" i="3" s="1"/>
  <c r="G282" i="3"/>
  <c r="H282" i="3" s="1"/>
  <c r="G281" i="3"/>
  <c r="H281" i="3" s="1"/>
  <c r="G280" i="3"/>
  <c r="H280" i="3" s="1"/>
  <c r="G279" i="3"/>
  <c r="H279" i="3" s="1"/>
  <c r="G278" i="3"/>
  <c r="H278" i="3" s="1"/>
  <c r="G277" i="3"/>
  <c r="H277" i="3" s="1"/>
  <c r="G275" i="3"/>
  <c r="H275" i="3" s="1"/>
  <c r="G274" i="3"/>
  <c r="H274" i="3" s="1"/>
  <c r="G273" i="3"/>
  <c r="H273" i="3" s="1"/>
  <c r="G272" i="3"/>
  <c r="H272" i="3" s="1"/>
  <c r="G271" i="3"/>
  <c r="H271" i="3" s="1"/>
  <c r="G270" i="3"/>
  <c r="H270" i="3" s="1"/>
  <c r="G269" i="3"/>
  <c r="H269" i="3" s="1"/>
  <c r="G268" i="3"/>
  <c r="H268" i="3" s="1"/>
  <c r="G267" i="3"/>
  <c r="H267" i="3" s="1"/>
  <c r="G265" i="3"/>
  <c r="H265" i="3" s="1"/>
  <c r="G264" i="3"/>
  <c r="H264" i="3" s="1"/>
  <c r="G263" i="3"/>
  <c r="H263" i="3" s="1"/>
  <c r="G261" i="3"/>
  <c r="H261" i="3" s="1"/>
  <c r="G260" i="3"/>
  <c r="H260" i="3" s="1"/>
  <c r="G259" i="3"/>
  <c r="H259" i="3" s="1"/>
  <c r="G258" i="3"/>
  <c r="H258" i="3" s="1"/>
  <c r="G257" i="3"/>
  <c r="H257" i="3" s="1"/>
  <c r="G256" i="3"/>
  <c r="H256" i="3" s="1"/>
  <c r="G255" i="3"/>
  <c r="H255" i="3" s="1"/>
  <c r="G254" i="3"/>
  <c r="H254" i="3" s="1"/>
  <c r="G253" i="3"/>
  <c r="H253" i="3" s="1"/>
  <c r="G252" i="3"/>
  <c r="H252" i="3" s="1"/>
  <c r="G251" i="3"/>
  <c r="H251" i="3" s="1"/>
  <c r="G250" i="3"/>
  <c r="H250" i="3" s="1"/>
  <c r="G248" i="3"/>
  <c r="H248" i="3" s="1"/>
  <c r="G247" i="3"/>
  <c r="H247" i="3" s="1"/>
  <c r="G246" i="3"/>
  <c r="H246" i="3" s="1"/>
  <c r="G245" i="3"/>
  <c r="H245" i="3" s="1"/>
  <c r="G244" i="3"/>
  <c r="H244" i="3" s="1"/>
  <c r="G243" i="3"/>
  <c r="H243" i="3" s="1"/>
  <c r="G242" i="3"/>
  <c r="H242" i="3" s="1"/>
  <c r="G240" i="3"/>
  <c r="H240" i="3" s="1"/>
  <c r="G239" i="3"/>
  <c r="H239" i="3" s="1"/>
  <c r="G238" i="3"/>
  <c r="H238" i="3" s="1"/>
  <c r="G237" i="3"/>
  <c r="H237" i="3" s="1"/>
  <c r="G236" i="3"/>
  <c r="H236" i="3" s="1"/>
  <c r="G235" i="3"/>
  <c r="H235" i="3" s="1"/>
  <c r="G234" i="3"/>
  <c r="H234" i="3" s="1"/>
  <c r="G233" i="3"/>
  <c r="H233" i="3" s="1"/>
  <c r="G232" i="3"/>
  <c r="H232" i="3" s="1"/>
  <c r="G231" i="3"/>
  <c r="H231" i="3" s="1"/>
  <c r="G230" i="3"/>
  <c r="H230" i="3" s="1"/>
  <c r="G229" i="3"/>
  <c r="H229" i="3" s="1"/>
  <c r="G228" i="3"/>
  <c r="H228" i="3" s="1"/>
  <c r="G227" i="3"/>
  <c r="H227" i="3" s="1"/>
  <c r="G226" i="3"/>
  <c r="H226" i="3" s="1"/>
  <c r="G225" i="3"/>
  <c r="H225" i="3" s="1"/>
  <c r="G223" i="3"/>
  <c r="H223" i="3" s="1"/>
  <c r="G222" i="3"/>
  <c r="H222" i="3" s="1"/>
  <c r="G221" i="3"/>
  <c r="H221" i="3" s="1"/>
  <c r="G220" i="3"/>
  <c r="H220" i="3" s="1"/>
  <c r="G219" i="3"/>
  <c r="H219" i="3" s="1"/>
  <c r="G218" i="3"/>
  <c r="H218" i="3" s="1"/>
  <c r="G217" i="3"/>
  <c r="H217" i="3" s="1"/>
  <c r="G215" i="3"/>
  <c r="H215" i="3" s="1"/>
  <c r="G214" i="3"/>
  <c r="H214" i="3" s="1"/>
  <c r="G213" i="3"/>
  <c r="H213" i="3" s="1"/>
  <c r="G211" i="3"/>
  <c r="H211" i="3" s="1"/>
  <c r="G210" i="3"/>
  <c r="H210" i="3" s="1"/>
  <c r="G209" i="3"/>
  <c r="H209" i="3" s="1"/>
  <c r="G208" i="3"/>
  <c r="H208" i="3" s="1"/>
  <c r="G207" i="3"/>
  <c r="H207" i="3" s="1"/>
  <c r="G206" i="3"/>
  <c r="H206" i="3" s="1"/>
  <c r="G205" i="3"/>
  <c r="H205" i="3" s="1"/>
  <c r="G204" i="3"/>
  <c r="H204" i="3" s="1"/>
  <c r="G203" i="3"/>
  <c r="H203" i="3" s="1"/>
  <c r="G202" i="3"/>
  <c r="H202" i="3" s="1"/>
  <c r="G201" i="3"/>
  <c r="H201" i="3" s="1"/>
  <c r="G200" i="3"/>
  <c r="H200" i="3" s="1"/>
  <c r="G199" i="3"/>
  <c r="H199" i="3" s="1"/>
  <c r="G197" i="3"/>
  <c r="H197" i="3" s="1"/>
  <c r="G196" i="3"/>
  <c r="H196" i="3" s="1"/>
  <c r="G195" i="3"/>
  <c r="H195" i="3" s="1"/>
  <c r="G194" i="3"/>
  <c r="H194" i="3" s="1"/>
  <c r="G193" i="3"/>
  <c r="H193" i="3" s="1"/>
  <c r="G192" i="3"/>
  <c r="H192" i="3" s="1"/>
  <c r="G191" i="3"/>
  <c r="H191" i="3" s="1"/>
  <c r="G190" i="3"/>
  <c r="H190" i="3" s="1"/>
  <c r="G188" i="3"/>
  <c r="H188" i="3" s="1"/>
  <c r="G187" i="3"/>
  <c r="H187" i="3" s="1"/>
  <c r="G185" i="3"/>
  <c r="H185" i="3" s="1"/>
  <c r="G184" i="3"/>
  <c r="H184" i="3" s="1"/>
  <c r="G182" i="3"/>
  <c r="H182" i="3" s="1"/>
  <c r="G180" i="3"/>
  <c r="H180" i="3" s="1"/>
  <c r="G179" i="3"/>
  <c r="H179" i="3" s="1"/>
  <c r="G177" i="3"/>
  <c r="H177" i="3" s="1"/>
  <c r="G175" i="3"/>
  <c r="H175" i="3" s="1"/>
  <c r="G174" i="3"/>
  <c r="H174" i="3" s="1"/>
  <c r="G173" i="3"/>
  <c r="H173" i="3" s="1"/>
  <c r="G172" i="3"/>
  <c r="H172" i="3" s="1"/>
  <c r="G171" i="3"/>
  <c r="H171" i="3" s="1"/>
  <c r="G170" i="3"/>
  <c r="H170" i="3" s="1"/>
  <c r="G169" i="3"/>
  <c r="H169" i="3" s="1"/>
  <c r="G167" i="3"/>
  <c r="H167" i="3" s="1"/>
  <c r="G166" i="3"/>
  <c r="H166" i="3" s="1"/>
  <c r="G165" i="3"/>
  <c r="H165" i="3" s="1"/>
  <c r="G163" i="3"/>
  <c r="H163" i="3" s="1"/>
  <c r="G162" i="3"/>
  <c r="H162" i="3" s="1"/>
  <c r="G161" i="3"/>
  <c r="H161" i="3" s="1"/>
  <c r="G160" i="3"/>
  <c r="H160" i="3" s="1"/>
  <c r="G158" i="3"/>
  <c r="H158" i="3" s="1"/>
  <c r="G157" i="3"/>
  <c r="H157" i="3" s="1"/>
  <c r="G156" i="3"/>
  <c r="H156" i="3" s="1"/>
  <c r="G155" i="3"/>
  <c r="H155" i="3" s="1"/>
  <c r="G154" i="3"/>
  <c r="H154" i="3" s="1"/>
  <c r="G153" i="3"/>
  <c r="H153" i="3" s="1"/>
  <c r="G152" i="3"/>
  <c r="H152" i="3" s="1"/>
  <c r="G151" i="3"/>
  <c r="H151" i="3" s="1"/>
  <c r="G150" i="3"/>
  <c r="H150" i="3" s="1"/>
  <c r="G149" i="3"/>
  <c r="H149" i="3" s="1"/>
  <c r="G148" i="3"/>
  <c r="H148" i="3" s="1"/>
  <c r="G147" i="3"/>
  <c r="H147" i="3" s="1"/>
  <c r="G146" i="3"/>
  <c r="H146" i="3" s="1"/>
  <c r="G145" i="3"/>
  <c r="H145" i="3" s="1"/>
  <c r="G144" i="3"/>
  <c r="H144" i="3" s="1"/>
  <c r="G143" i="3"/>
  <c r="H143" i="3" s="1"/>
  <c r="G142" i="3"/>
  <c r="H142" i="3" s="1"/>
  <c r="G141" i="3"/>
  <c r="H141" i="3" s="1"/>
  <c r="G140" i="3"/>
  <c r="H140" i="3" s="1"/>
  <c r="G139" i="3"/>
  <c r="H139" i="3" s="1"/>
  <c r="G138" i="3"/>
  <c r="H138" i="3" s="1"/>
  <c r="G137" i="3"/>
  <c r="H137" i="3" s="1"/>
  <c r="G136" i="3"/>
  <c r="H136" i="3" s="1"/>
  <c r="G135" i="3"/>
  <c r="H135" i="3" s="1"/>
  <c r="G134" i="3"/>
  <c r="H134" i="3" s="1"/>
  <c r="G133" i="3"/>
  <c r="H133" i="3" s="1"/>
  <c r="G132" i="3"/>
  <c r="H132" i="3" s="1"/>
  <c r="G131" i="3"/>
  <c r="H131" i="3" s="1"/>
  <c r="G130" i="3"/>
  <c r="H130" i="3" s="1"/>
  <c r="G129" i="3"/>
  <c r="H129" i="3" s="1"/>
  <c r="G128" i="3"/>
  <c r="H128" i="3" s="1"/>
  <c r="G127" i="3"/>
  <c r="H127" i="3" s="1"/>
  <c r="G126" i="3"/>
  <c r="H126" i="3" s="1"/>
  <c r="G125" i="3"/>
  <c r="H125" i="3" s="1"/>
  <c r="G124" i="3"/>
  <c r="H124" i="3" s="1"/>
  <c r="G123" i="3"/>
  <c r="H123" i="3" s="1"/>
  <c r="G122" i="3"/>
  <c r="H122" i="3" s="1"/>
  <c r="G121" i="3"/>
  <c r="H121" i="3" s="1"/>
  <c r="G120" i="3"/>
  <c r="H120" i="3" s="1"/>
  <c r="G119" i="3"/>
  <c r="H119" i="3" s="1"/>
  <c r="G118" i="3"/>
  <c r="H118" i="3" s="1"/>
  <c r="G116" i="3"/>
  <c r="H116" i="3" s="1"/>
  <c r="G115" i="3"/>
  <c r="H115" i="3" s="1"/>
  <c r="G114" i="3"/>
  <c r="H114" i="3" s="1"/>
  <c r="G113" i="3"/>
  <c r="H113" i="3" s="1"/>
  <c r="G112" i="3"/>
  <c r="H112" i="3" s="1"/>
  <c r="G111" i="3"/>
  <c r="H111" i="3" s="1"/>
  <c r="G110" i="3"/>
  <c r="H110" i="3" s="1"/>
  <c r="G108" i="3"/>
  <c r="H108" i="3" s="1"/>
  <c r="G107" i="3"/>
  <c r="H107" i="3" s="1"/>
  <c r="G106" i="3"/>
  <c r="H106" i="3" s="1"/>
  <c r="G104" i="3"/>
  <c r="H104" i="3" s="1"/>
  <c r="G103" i="3"/>
  <c r="H103" i="3" s="1"/>
  <c r="G102" i="3"/>
  <c r="H102" i="3" s="1"/>
  <c r="G100" i="3"/>
  <c r="H100" i="3" s="1"/>
  <c r="G99" i="3"/>
  <c r="H99" i="3" s="1"/>
  <c r="G98" i="3"/>
  <c r="H98" i="3" s="1"/>
  <c r="G97" i="3"/>
  <c r="H97" i="3" s="1"/>
  <c r="G96" i="3"/>
  <c r="H96" i="3" s="1"/>
  <c r="G94" i="3"/>
  <c r="H94" i="3" s="1"/>
  <c r="G93" i="3"/>
  <c r="H93" i="3" s="1"/>
  <c r="G92" i="3"/>
  <c r="H92" i="3" s="1"/>
  <c r="G91" i="3"/>
  <c r="H91" i="3" s="1"/>
  <c r="G90" i="3"/>
  <c r="H90" i="3" s="1"/>
  <c r="G89" i="3"/>
  <c r="H89" i="3" s="1"/>
  <c r="G88" i="3"/>
  <c r="H88" i="3" s="1"/>
  <c r="G87" i="3"/>
  <c r="H87" i="3" s="1"/>
  <c r="G86" i="3"/>
  <c r="H86" i="3" s="1"/>
  <c r="G85" i="3"/>
  <c r="H85" i="3" s="1"/>
  <c r="G84" i="3"/>
  <c r="H84" i="3" s="1"/>
  <c r="G83" i="3"/>
  <c r="H83" i="3" s="1"/>
  <c r="G81" i="3"/>
  <c r="H81" i="3" s="1"/>
  <c r="G80" i="3"/>
  <c r="H80" i="3" s="1"/>
  <c r="G79" i="3"/>
  <c r="H79" i="3" s="1"/>
  <c r="G78" i="3"/>
  <c r="H78" i="3" s="1"/>
  <c r="G77" i="3"/>
  <c r="H77" i="3" s="1"/>
  <c r="G75" i="3"/>
  <c r="H75" i="3" s="1"/>
  <c r="G74" i="3"/>
  <c r="H74" i="3" s="1"/>
  <c r="G73" i="3"/>
  <c r="H73" i="3" s="1"/>
  <c r="G72" i="3"/>
  <c r="H72" i="3" s="1"/>
  <c r="G70" i="3"/>
  <c r="H70" i="3" s="1"/>
  <c r="G69" i="3"/>
  <c r="H69" i="3" s="1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G62" i="3"/>
  <c r="H62" i="3" s="1"/>
  <c r="G61" i="3"/>
  <c r="H61" i="3" s="1"/>
  <c r="G60" i="3"/>
  <c r="H60" i="3" s="1"/>
  <c r="G59" i="3"/>
  <c r="H59" i="3" s="1"/>
  <c r="G58" i="3"/>
  <c r="H58" i="3" s="1"/>
  <c r="G57" i="3"/>
  <c r="H57" i="3" s="1"/>
  <c r="G56" i="3"/>
  <c r="H56" i="3" s="1"/>
  <c r="G55" i="3"/>
  <c r="H55" i="3" s="1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0" i="3"/>
  <c r="H20" i="3" s="1"/>
  <c r="G18" i="3"/>
  <c r="H18" i="3" s="1"/>
  <c r="G17" i="3"/>
  <c r="H17" i="3" s="1"/>
  <c r="G15" i="3"/>
  <c r="H15" i="3" s="1"/>
  <c r="G14" i="3"/>
  <c r="H14" i="3" s="1"/>
  <c r="G13" i="3"/>
  <c r="H13" i="3" s="1"/>
  <c r="G12" i="3"/>
  <c r="H12" i="3" s="1"/>
  <c r="G9" i="3"/>
  <c r="H9" i="3" s="1"/>
  <c r="F285" i="2"/>
  <c r="F288" i="2" s="1"/>
  <c r="D285" i="2"/>
  <c r="E285" i="2"/>
  <c r="E288" i="2" s="1"/>
  <c r="G284" i="2"/>
  <c r="H284" i="2" s="1"/>
  <c r="G282" i="2"/>
  <c r="H282" i="2" s="1"/>
  <c r="G281" i="2"/>
  <c r="H281" i="2" s="1"/>
  <c r="G279" i="2"/>
  <c r="H279" i="2" s="1"/>
  <c r="G277" i="2"/>
  <c r="H277" i="2" s="1"/>
  <c r="G276" i="2"/>
  <c r="H276" i="2" s="1"/>
  <c r="G275" i="2"/>
  <c r="H275" i="2" s="1"/>
  <c r="G274" i="2"/>
  <c r="H274" i="2" s="1"/>
  <c r="G273" i="2"/>
  <c r="H273" i="2" s="1"/>
  <c r="G271" i="2"/>
  <c r="H271" i="2" s="1"/>
  <c r="G270" i="2"/>
  <c r="H270" i="2" s="1"/>
  <c r="G269" i="2"/>
  <c r="H269" i="2" s="1"/>
  <c r="G268" i="2"/>
  <c r="H268" i="2" s="1"/>
  <c r="G267" i="2"/>
  <c r="H267" i="2" s="1"/>
  <c r="G266" i="2"/>
  <c r="H266" i="2" s="1"/>
  <c r="G264" i="2"/>
  <c r="H264" i="2" s="1"/>
  <c r="G263" i="2"/>
  <c r="H263" i="2" s="1"/>
  <c r="G262" i="2"/>
  <c r="H262" i="2" s="1"/>
  <c r="G261" i="2"/>
  <c r="H261" i="2" s="1"/>
  <c r="G260" i="2"/>
  <c r="H260" i="2" s="1"/>
  <c r="G259" i="2"/>
  <c r="H259" i="2" s="1"/>
  <c r="G258" i="2"/>
  <c r="H258" i="2" s="1"/>
  <c r="G257" i="2"/>
  <c r="H257" i="2" s="1"/>
  <c r="G255" i="2"/>
  <c r="H255" i="2" s="1"/>
  <c r="G254" i="2"/>
  <c r="H254" i="2" s="1"/>
  <c r="G252" i="2"/>
  <c r="H252" i="2" s="1"/>
  <c r="G251" i="2"/>
  <c r="H251" i="2" s="1"/>
  <c r="G250" i="2"/>
  <c r="H250" i="2" s="1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6" i="2"/>
  <c r="H206" i="2" s="1"/>
  <c r="G205" i="2"/>
  <c r="H205" i="2" s="1"/>
  <c r="G204" i="2"/>
  <c r="H204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1" i="2"/>
  <c r="H181" i="2" s="1"/>
  <c r="G180" i="2"/>
  <c r="H180" i="2" s="1"/>
  <c r="G178" i="2"/>
  <c r="H178" i="2" s="1"/>
  <c r="G177" i="2"/>
  <c r="H177" i="2" s="1"/>
  <c r="G175" i="2"/>
  <c r="H175" i="2" s="1"/>
  <c r="G173" i="2"/>
  <c r="H173" i="2" s="1"/>
  <c r="G172" i="2"/>
  <c r="H172" i="2" s="1"/>
  <c r="G170" i="2"/>
  <c r="H170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1" i="2"/>
  <c r="H161" i="2" s="1"/>
  <c r="G160" i="2"/>
  <c r="H160" i="2" s="1"/>
  <c r="G158" i="2"/>
  <c r="H158" i="2" s="1"/>
  <c r="G157" i="2"/>
  <c r="H157" i="2" s="1"/>
  <c r="G156" i="2"/>
  <c r="H156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6" i="2"/>
  <c r="H106" i="2" s="1"/>
  <c r="G105" i="2"/>
  <c r="H105" i="2" s="1"/>
  <c r="G104" i="2"/>
  <c r="H104" i="2" s="1"/>
  <c r="G102" i="2"/>
  <c r="H102" i="2" s="1"/>
  <c r="G101" i="2"/>
  <c r="H101" i="2" s="1"/>
  <c r="G100" i="2"/>
  <c r="H100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7" i="2"/>
  <c r="H77" i="2" s="1"/>
  <c r="G76" i="2"/>
  <c r="H76" i="2" s="1"/>
  <c r="G75" i="2"/>
  <c r="H75" i="2" s="1"/>
  <c r="G74" i="2"/>
  <c r="H74" i="2" s="1"/>
  <c r="G73" i="2"/>
  <c r="H73" i="2" s="1"/>
  <c r="G71" i="2"/>
  <c r="H71" i="2" s="1"/>
  <c r="G70" i="2"/>
  <c r="H70" i="2" s="1"/>
  <c r="G69" i="2"/>
  <c r="H69" i="2" s="1"/>
  <c r="G68" i="2"/>
  <c r="H68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H28" i="2"/>
  <c r="G28" i="2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0" i="2"/>
  <c r="H20" i="2" s="1"/>
  <c r="G18" i="2"/>
  <c r="H18" i="2" s="1"/>
  <c r="G17" i="2"/>
  <c r="H17" i="2" s="1"/>
  <c r="G15" i="2"/>
  <c r="H15" i="2" s="1"/>
  <c r="G14" i="2"/>
  <c r="H14" i="2" s="1"/>
  <c r="G13" i="2"/>
  <c r="H13" i="2" s="1"/>
  <c r="G12" i="2"/>
  <c r="H12" i="2" s="1"/>
  <c r="G9" i="2"/>
  <c r="H9" i="2" s="1"/>
  <c r="E207" i="1"/>
  <c r="F207" i="1"/>
  <c r="D207" i="1"/>
  <c r="G207" i="1" l="1"/>
  <c r="H207" i="1"/>
  <c r="G330" i="5"/>
  <c r="H330" i="5"/>
  <c r="H311" i="4"/>
  <c r="G311" i="4"/>
  <c r="G297" i="3"/>
  <c r="H285" i="2"/>
  <c r="G285" i="2"/>
</calcChain>
</file>

<file path=xl/sharedStrings.xml><?xml version="1.0" encoding="utf-8"?>
<sst xmlns="http://schemas.openxmlformats.org/spreadsheetml/2006/main" count="4048" uniqueCount="760">
  <si>
    <t>Diamond Star Arabia Industrial Company(Namma)</t>
  </si>
  <si>
    <t>Trial Balance  01-01-2026 To 31-01-2026</t>
  </si>
  <si>
    <t>Code</t>
  </si>
  <si>
    <t>Account</t>
  </si>
  <si>
    <t>Opening Balance</t>
  </si>
  <si>
    <t>Debits</t>
  </si>
  <si>
    <t>Credits</t>
  </si>
  <si>
    <t>Net Change</t>
  </si>
  <si>
    <t>Closing Balance</t>
  </si>
  <si>
    <t>Account Group</t>
  </si>
  <si>
    <t>FCA</t>
  </si>
  <si>
    <t xml:space="preserve"> CONTROL A/Cs</t>
  </si>
  <si>
    <t>JEC-001</t>
  </si>
  <si>
    <t xml:space="preserve">    Journal Entries Control A/C</t>
  </si>
  <si>
    <t>CONTROL A/Cs</t>
  </si>
  <si>
    <t>10</t>
  </si>
  <si>
    <t xml:space="preserve"> Cash &amp; Cash Equivallants</t>
  </si>
  <si>
    <t>100</t>
  </si>
  <si>
    <t xml:space="preserve">    Petty Cash</t>
  </si>
  <si>
    <t>0100-01</t>
  </si>
  <si>
    <t xml:space="preserve">        Petty Cash-Accounts</t>
  </si>
  <si>
    <t>Petty Cash</t>
  </si>
  <si>
    <t>0100-02</t>
  </si>
  <si>
    <t xml:space="preserve">        Petty Cash-Expenses</t>
  </si>
  <si>
    <t>0100-03</t>
  </si>
  <si>
    <t xml:space="preserve">        Petty Cash - Material</t>
  </si>
  <si>
    <t>0100-08</t>
  </si>
  <si>
    <t xml:space="preserve">        Cash In Hand-2024</t>
  </si>
  <si>
    <t>102</t>
  </si>
  <si>
    <t xml:space="preserve">    Bank</t>
  </si>
  <si>
    <t>0102-09</t>
  </si>
  <si>
    <t xml:space="preserve">        Riyad Bank-136425689994 (DSA)</t>
  </si>
  <si>
    <t>Bank</t>
  </si>
  <si>
    <t>101</t>
  </si>
  <si>
    <t xml:space="preserve"> Cash In Collection</t>
  </si>
  <si>
    <t>0101-01</t>
  </si>
  <si>
    <t xml:space="preserve">    Cash In Collection</t>
  </si>
  <si>
    <t>Cash In Collection</t>
  </si>
  <si>
    <t>400</t>
  </si>
  <si>
    <t xml:space="preserve"> Accounts Receivables</t>
  </si>
  <si>
    <t>0400-140</t>
  </si>
  <si>
    <t xml:space="preserve">    SAM Advance Co For Industry</t>
  </si>
  <si>
    <t>Accounts Receivables</t>
  </si>
  <si>
    <t>0400-138</t>
  </si>
  <si>
    <t xml:space="preserve">    United Gulf Factory For Plastics</t>
  </si>
  <si>
    <t>0400-137</t>
  </si>
  <si>
    <t xml:space="preserve">    Hamed Ateeq Raziq Al-Harbi Environmental Services Est.</t>
  </si>
  <si>
    <t>0400-02</t>
  </si>
  <si>
    <t xml:space="preserve">    AL JAZEERA MODEL PLASTIC FACTORY</t>
  </si>
  <si>
    <t>0400-10</t>
  </si>
  <si>
    <t xml:space="preserve">    MUHAMMAD NASIR SANOSI BAGHDADI PLASTIC FACTORY</t>
  </si>
  <si>
    <t>0400-13</t>
  </si>
  <si>
    <t xml:space="preserve">    Rafeeq Bilal Plastic Pvt Ltd</t>
  </si>
  <si>
    <t>0400-15</t>
  </si>
  <si>
    <t xml:space="preserve">    SAPAPCO</t>
  </si>
  <si>
    <t>0400-17</t>
  </si>
  <si>
    <t xml:space="preserve">    STAR PLASTIC TRADING COMPANY</t>
  </si>
  <si>
    <t>0400-25</t>
  </si>
  <si>
    <t xml:space="preserve">    Various Customers</t>
  </si>
  <si>
    <t>0400-26</t>
  </si>
  <si>
    <t xml:space="preserve">    Shawahid Al-Jazeera Company Ltd</t>
  </si>
  <si>
    <t>0400-36</t>
  </si>
  <si>
    <t xml:space="preserve">    SAAD SALIM QAHTANI FACTORY</t>
  </si>
  <si>
    <t>0400-46</t>
  </si>
  <si>
    <t xml:space="preserve">    NAMA ADVANCED MODERN TRADING CO.</t>
  </si>
  <si>
    <t>0400-51</t>
  </si>
  <si>
    <t xml:space="preserve">    Awad Mohammed Al-Qahtani Plastic Factory</t>
  </si>
  <si>
    <t>0400-53</t>
  </si>
  <si>
    <t xml:space="preserve">    Green City International Trading Co.-Recivable</t>
  </si>
  <si>
    <t>0400-57</t>
  </si>
  <si>
    <t xml:space="preserve">    SAMA MAKKAH PLASTIC FACTORY</t>
  </si>
  <si>
    <t>0400-58</t>
  </si>
  <si>
    <t xml:space="preserve">    AZZA ALI AL ZUBAIDI EST.</t>
  </si>
  <si>
    <t>0400-60</t>
  </si>
  <si>
    <t xml:space="preserve">    AL ROMANA MODERN PLASTIC FACTORY COMPANY</t>
  </si>
  <si>
    <t>0400-61</t>
  </si>
  <si>
    <t xml:space="preserve">    WADI AL KHADRA'A FACTORY COMPANY FOR INDUSTRY</t>
  </si>
  <si>
    <t>0400-69</t>
  </si>
  <si>
    <t xml:space="preserve">    DCI Plus Foundation</t>
  </si>
  <si>
    <t>0400-75</t>
  </si>
  <si>
    <t xml:space="preserve">    MUHAMMAD JUWAIBER AL THABAITI PLASTIC FACTORY</t>
  </si>
  <si>
    <t>0400-76</t>
  </si>
  <si>
    <t xml:space="preserve">    Aknan Specialized For Industry Co.</t>
  </si>
  <si>
    <t>0400-78</t>
  </si>
  <si>
    <t xml:space="preserve">    Pharmaceutical Solution Industry Ltd.</t>
  </si>
  <si>
    <t>0400-87</t>
  </si>
  <si>
    <t xml:space="preserve">    Pan Gulf International Trading Co.(PGI)</t>
  </si>
  <si>
    <t>0400-100</t>
  </si>
  <si>
    <t xml:space="preserve">    SAUDI NATIONAL PLASTIC FACTORY FOR INDUSTRY</t>
  </si>
  <si>
    <t>0400-102</t>
  </si>
  <si>
    <t xml:space="preserve">    LADAIN SHORAN FOR MANUFACTURING CO.</t>
  </si>
  <si>
    <t>0400-103</t>
  </si>
  <si>
    <t xml:space="preserve">    Arabian Plastic Developed Co</t>
  </si>
  <si>
    <t>0400-108</t>
  </si>
  <si>
    <t xml:space="preserve">    Ladain Al Mustaqbal For Industry</t>
  </si>
  <si>
    <t>0400-110</t>
  </si>
  <si>
    <t xml:space="preserve">    AL SULTAN MODEL PLASTIC FACTORY-OLD</t>
  </si>
  <si>
    <t>0400-111</t>
  </si>
  <si>
    <t xml:space="preserve">    AL HAMRA FACTORY FOR PLASTIC</t>
  </si>
  <si>
    <t>0400-118</t>
  </si>
  <si>
    <t xml:space="preserve">    SAUDI SAMETEX SOLE PROPRIETORSHIP COMPANY</t>
  </si>
  <si>
    <t>0400-126</t>
  </si>
  <si>
    <t xml:space="preserve">    RAOUD AL KHAMIS TRADING EST.</t>
  </si>
  <si>
    <t>0400-119</t>
  </si>
  <si>
    <t xml:space="preserve">    Diamond Star Arabia Waste Recycling</t>
  </si>
  <si>
    <t>0400-136</t>
  </si>
  <si>
    <t xml:space="preserve">    Abdullah Salem Ahmed Basalama T. Est</t>
  </si>
  <si>
    <t>0400-130</t>
  </si>
  <si>
    <t xml:space="preserve">    Al Sultan Model Plastic Factory</t>
  </si>
  <si>
    <t>0400-127</t>
  </si>
  <si>
    <t xml:space="preserve">    Al-Yaqeen Advanced Trading Co.Receivable</t>
  </si>
  <si>
    <t>3200-310</t>
  </si>
  <si>
    <t xml:space="preserve">    Tadwir Al-Jazirah Trading Company LLC.</t>
  </si>
  <si>
    <t>0400-141</t>
  </si>
  <si>
    <t xml:space="preserve">    ALSAUDI ALWATANI ALMUTAFAWIQ LILBILASTIK FACTORY MFG EST.</t>
  </si>
  <si>
    <t>490</t>
  </si>
  <si>
    <t xml:space="preserve"> VAT</t>
  </si>
  <si>
    <t>VI-001</t>
  </si>
  <si>
    <t xml:space="preserve">    Vat Input Account</t>
  </si>
  <si>
    <t>VAT</t>
  </si>
  <si>
    <t>VO-002</t>
  </si>
  <si>
    <t xml:space="preserve">    Vat Output Account</t>
  </si>
  <si>
    <t>VOA2-003</t>
  </si>
  <si>
    <t xml:space="preserve">    Net Vat Refundable / Payable.</t>
  </si>
  <si>
    <t>VAD-006</t>
  </si>
  <si>
    <t xml:space="preserve">    Vat Advance Account</t>
  </si>
  <si>
    <t>601</t>
  </si>
  <si>
    <t xml:space="preserve"> Prepaid Expenses</t>
  </si>
  <si>
    <t>0601-01</t>
  </si>
  <si>
    <t xml:space="preserve">    Prepaid-Rent Factory</t>
  </si>
  <si>
    <t>Prepaid Expenses</t>
  </si>
  <si>
    <t>0601-02</t>
  </si>
  <si>
    <t xml:space="preserve">    Prepaid-Medical Insurance</t>
  </si>
  <si>
    <t>0601-18</t>
  </si>
  <si>
    <t xml:space="preserve">    Prepaid Bupa Medical - Exp</t>
  </si>
  <si>
    <t>0601-20</t>
  </si>
  <si>
    <t xml:space="preserve">    Prepaid MWAN License Fee</t>
  </si>
  <si>
    <t>602</t>
  </si>
  <si>
    <t xml:space="preserve"> Staff Advances</t>
  </si>
  <si>
    <t>0602-014</t>
  </si>
  <si>
    <t xml:space="preserve">    MD Mohsin - ID # 479</t>
  </si>
  <si>
    <t>Staff Advances</t>
  </si>
  <si>
    <t>0602-016</t>
  </si>
  <si>
    <t xml:space="preserve">    Fakhruddin Qasmi - ID # 160</t>
  </si>
  <si>
    <t>0602-037</t>
  </si>
  <si>
    <t xml:space="preserve">    Sikandar Yusuf ID-2005</t>
  </si>
  <si>
    <t>0602-041</t>
  </si>
  <si>
    <t xml:space="preserve">    SADAB AHMAD (ID 2009)</t>
  </si>
  <si>
    <t>0602-040</t>
  </si>
  <si>
    <t xml:space="preserve">    SHAMIM UDDIN (ID # 2007)</t>
  </si>
  <si>
    <t>0602-039</t>
  </si>
  <si>
    <t xml:space="preserve">    AKSHAY NIKANTH (ID # 2007)</t>
  </si>
  <si>
    <t>0602-038</t>
  </si>
  <si>
    <t xml:space="preserve">    ALTAF SIDDIQUE (ID # 2006)</t>
  </si>
  <si>
    <t>604</t>
  </si>
  <si>
    <t xml:space="preserve"> Supplier Advance</t>
  </si>
  <si>
    <t>0604-02</t>
  </si>
  <si>
    <t xml:space="preserve">    Gulf Packaging System - Advance To Supplier</t>
  </si>
  <si>
    <t>Supplier Advance</t>
  </si>
  <si>
    <t>0700</t>
  </si>
  <si>
    <t xml:space="preserve"> Stocks</t>
  </si>
  <si>
    <t>0700-01</t>
  </si>
  <si>
    <t xml:space="preserve">    Raw Matetrail Inventory</t>
  </si>
  <si>
    <t>Stocks</t>
  </si>
  <si>
    <t>0700-02</t>
  </si>
  <si>
    <t xml:space="preserve">    Finished Goods Inventory</t>
  </si>
  <si>
    <t>0700-03</t>
  </si>
  <si>
    <t xml:space="preserve">    Work In Process</t>
  </si>
  <si>
    <t>2001</t>
  </si>
  <si>
    <t xml:space="preserve"> Acc Depreciation</t>
  </si>
  <si>
    <t>2001-02</t>
  </si>
  <si>
    <t xml:space="preserve">    Acc Dep-Plant &amp; Machinery</t>
  </si>
  <si>
    <t>Acc Depreciation</t>
  </si>
  <si>
    <t>2001-03</t>
  </si>
  <si>
    <t xml:space="preserve">    Acc Dep-Store Equipments</t>
  </si>
  <si>
    <t>2001-08</t>
  </si>
  <si>
    <t xml:space="preserve">    Acc Dep- Lease Hold Improvment</t>
  </si>
  <si>
    <t>2001-04</t>
  </si>
  <si>
    <t xml:space="preserve">    Acc Dep-Office Equipments</t>
  </si>
  <si>
    <t>2001-05</t>
  </si>
  <si>
    <t xml:space="preserve">    Acc Dep-Vehicles</t>
  </si>
  <si>
    <t>2001-06</t>
  </si>
  <si>
    <t xml:space="preserve">    Acc.Dep-Furniture &amp; Fixtures</t>
  </si>
  <si>
    <t>2001-07</t>
  </si>
  <si>
    <t xml:space="preserve">    Acc.Dep-Computers</t>
  </si>
  <si>
    <t>3200</t>
  </si>
  <si>
    <t xml:space="preserve"> Trade Suppliers (Accounts Payable)</t>
  </si>
  <si>
    <t>3200-311</t>
  </si>
  <si>
    <t xml:space="preserve">    First Saudi Company</t>
  </si>
  <si>
    <t>Trade Suppliers (Accounts Payable)</t>
  </si>
  <si>
    <t>3200-038</t>
  </si>
  <si>
    <t xml:space="preserve">    Middle East Plastic Industries</t>
  </si>
  <si>
    <t>3200-059</t>
  </si>
  <si>
    <t xml:space="preserve">    Nama Advanced Modern Trading Co - Supplier</t>
  </si>
  <si>
    <t>3200-086</t>
  </si>
  <si>
    <t xml:space="preserve">    Small Vendors</t>
  </si>
  <si>
    <t>3200-095</t>
  </si>
  <si>
    <t xml:space="preserve">    Namma Al Enjaz Factory For Industry - Purchase</t>
  </si>
  <si>
    <t>3200-114</t>
  </si>
  <si>
    <t xml:space="preserve">    AL JAZEERA MODEL PLASTIC FACTORY.</t>
  </si>
  <si>
    <t>3200-175</t>
  </si>
  <si>
    <t xml:space="preserve">    Sleep High Co.</t>
  </si>
  <si>
    <t>3200-188</t>
  </si>
  <si>
    <t xml:space="preserve">    Saudi Can Closures Company</t>
  </si>
  <si>
    <t>3200-225</t>
  </si>
  <si>
    <t xml:space="preserve">    Ladain Shoran For Manufacturing Co (supplier)</t>
  </si>
  <si>
    <t>3200-270</t>
  </si>
  <si>
    <t xml:space="preserve">    RAKAYIZ AL TADWIR EST. FOR TRADING</t>
  </si>
  <si>
    <t>3200-288</t>
  </si>
  <si>
    <t xml:space="preserve">    PURCHASE CONTROL A/C</t>
  </si>
  <si>
    <t>3200-307</t>
  </si>
  <si>
    <t xml:space="preserve">    Al Faisal Plastic Factory Co</t>
  </si>
  <si>
    <t>3200-312</t>
  </si>
  <si>
    <t xml:space="preserve">    SABREEN WAN EST. For Scrap</t>
  </si>
  <si>
    <t>3200-309</t>
  </si>
  <si>
    <t xml:space="preserve">    Major Vendor</t>
  </si>
  <si>
    <t>3201</t>
  </si>
  <si>
    <t xml:space="preserve"> Expenses Payable</t>
  </si>
  <si>
    <t>3201-01</t>
  </si>
  <si>
    <t xml:space="preserve">    Accrued Expenses</t>
  </si>
  <si>
    <t>Expenses Payable</t>
  </si>
  <si>
    <t>3260</t>
  </si>
  <si>
    <t xml:space="preserve"> Others Payables</t>
  </si>
  <si>
    <t>3270-12</t>
  </si>
  <si>
    <t xml:space="preserve">    Technical Zone Est For Maintenance</t>
  </si>
  <si>
    <t>Others Payables</t>
  </si>
  <si>
    <t>3270</t>
  </si>
  <si>
    <t xml:space="preserve"> Inter-Company</t>
  </si>
  <si>
    <t>3270-01</t>
  </si>
  <si>
    <t xml:space="preserve">    Inter-Company - Al Yaqeen</t>
  </si>
  <si>
    <t>Inter-Company</t>
  </si>
  <si>
    <t>3270-03</t>
  </si>
  <si>
    <t xml:space="preserve">    Namma Al Enjas (2026)</t>
  </si>
  <si>
    <t>3270-09</t>
  </si>
  <si>
    <t xml:space="preserve">    Abu Rayhan Perfume Factory</t>
  </si>
  <si>
    <t>0400-86</t>
  </si>
  <si>
    <t xml:space="preserve">    Al-Yaqeen Advanced Trading Co.</t>
  </si>
  <si>
    <t>3200-148</t>
  </si>
  <si>
    <t xml:space="preserve">    Green City International Trading Co - Supplier</t>
  </si>
  <si>
    <t>3560</t>
  </si>
  <si>
    <t xml:space="preserve"> Provisions</t>
  </si>
  <si>
    <t>3560-02</t>
  </si>
  <si>
    <t xml:space="preserve">    Provision For Vacation Pay</t>
  </si>
  <si>
    <t>Provisions</t>
  </si>
  <si>
    <t>3540</t>
  </si>
  <si>
    <t xml:space="preserve"> Gratuity Payable</t>
  </si>
  <si>
    <t>3540-01</t>
  </si>
  <si>
    <t xml:space="preserve">    Provision For End Of Service</t>
  </si>
  <si>
    <t>Gratuity Payable</t>
  </si>
  <si>
    <t>4910</t>
  </si>
  <si>
    <t xml:space="preserve"> Drawing</t>
  </si>
  <si>
    <t>4910-01</t>
  </si>
  <si>
    <t xml:space="preserve">    Owner's Current A/c</t>
  </si>
  <si>
    <t>Drawing</t>
  </si>
  <si>
    <t>4910-02</t>
  </si>
  <si>
    <t xml:space="preserve">    Retained Earning-Prior Years</t>
  </si>
  <si>
    <t>5000</t>
  </si>
  <si>
    <t xml:space="preserve"> Revenue</t>
  </si>
  <si>
    <t>5000-02</t>
  </si>
  <si>
    <t xml:space="preserve">    Local Sales</t>
  </si>
  <si>
    <t>Revenue</t>
  </si>
  <si>
    <t>5000-03</t>
  </si>
  <si>
    <t xml:space="preserve">    Other Income</t>
  </si>
  <si>
    <t>9000</t>
  </si>
  <si>
    <t xml:space="preserve"> Cost Of Sales</t>
  </si>
  <si>
    <t>6012-04</t>
  </si>
  <si>
    <t xml:space="preserve">    Transportation Exp</t>
  </si>
  <si>
    <t>Cost Of Sales</t>
  </si>
  <si>
    <t>6012-07</t>
  </si>
  <si>
    <t xml:space="preserve">    Material Packing Exp</t>
  </si>
  <si>
    <t>9000-01</t>
  </si>
  <si>
    <t xml:space="preserve">    Cost Of Sales</t>
  </si>
  <si>
    <t>9000-02</t>
  </si>
  <si>
    <t xml:space="preserve">    Material Wastage</t>
  </si>
  <si>
    <t>9000-07</t>
  </si>
  <si>
    <t xml:space="preserve">    Bailing &amp; Shredding Service Charges</t>
  </si>
  <si>
    <t>6000</t>
  </si>
  <si>
    <t xml:space="preserve"> Cost Of Employment</t>
  </si>
  <si>
    <t>6000-01</t>
  </si>
  <si>
    <t xml:space="preserve">    Salaries &amp; Wages</t>
  </si>
  <si>
    <t>Cost Of Employment</t>
  </si>
  <si>
    <t>6000-05</t>
  </si>
  <si>
    <t xml:space="preserve">    Overtime</t>
  </si>
  <si>
    <t>6000-06</t>
  </si>
  <si>
    <t xml:space="preserve">    GOSSI Payments</t>
  </si>
  <si>
    <t>6000-08</t>
  </si>
  <si>
    <t xml:space="preserve">    LFA Expenses</t>
  </si>
  <si>
    <t>6000-09</t>
  </si>
  <si>
    <t xml:space="preserve">    Vacation Pay Exp</t>
  </si>
  <si>
    <t>6000-10</t>
  </si>
  <si>
    <t xml:space="preserve">    Gratuity Exp</t>
  </si>
  <si>
    <t>6000-13</t>
  </si>
  <si>
    <t xml:space="preserve">    Uniform &amp; Safety Supplies</t>
  </si>
  <si>
    <t>6000-15</t>
  </si>
  <si>
    <t xml:space="preserve">    Casual Labour Salaries</t>
  </si>
  <si>
    <t>6000-18</t>
  </si>
  <si>
    <t xml:space="preserve">    Employees Work Permit Exp</t>
  </si>
  <si>
    <t>6000-19</t>
  </si>
  <si>
    <t xml:space="preserve">    Employees Exit &amp; Re-entry Exp</t>
  </si>
  <si>
    <t>6000-23</t>
  </si>
  <si>
    <t xml:space="preserve">    Employees Iqama Renewal Exp</t>
  </si>
  <si>
    <t>6003</t>
  </si>
  <si>
    <t xml:space="preserve"> Rent &amp; Rates</t>
  </si>
  <si>
    <t>6003-05</t>
  </si>
  <si>
    <t xml:space="preserve">    RENTAL CONTAINER EXP</t>
  </si>
  <si>
    <t>Rent &amp; Rates</t>
  </si>
  <si>
    <t>6003-01</t>
  </si>
  <si>
    <t xml:space="preserve">    Factory Rent</t>
  </si>
  <si>
    <t>6003-03</t>
  </si>
  <si>
    <t xml:space="preserve">    Forklift Rent</t>
  </si>
  <si>
    <t>6005</t>
  </si>
  <si>
    <t xml:space="preserve"> Depreciation Exp</t>
  </si>
  <si>
    <t>6005-02</t>
  </si>
  <si>
    <t xml:space="preserve">    Dep Exp-Plant &amp; Machinery</t>
  </si>
  <si>
    <t>Depreciation Exp</t>
  </si>
  <si>
    <t>6005-04</t>
  </si>
  <si>
    <t xml:space="preserve">    Dep Exp-Office Equipments</t>
  </si>
  <si>
    <t>6005-05</t>
  </si>
  <si>
    <t xml:space="preserve">    Dep Exp-Vehicles</t>
  </si>
  <si>
    <t>6005-06</t>
  </si>
  <si>
    <t xml:space="preserve">    Dep Exp-Furniture &amp; Fixtures</t>
  </si>
  <si>
    <t>6005-11</t>
  </si>
  <si>
    <t xml:space="preserve">    Dep Exp-Lease Hold Improvments</t>
  </si>
  <si>
    <t>6005-07</t>
  </si>
  <si>
    <t xml:space="preserve">    Dep Exp-Computers</t>
  </si>
  <si>
    <t>6005-09</t>
  </si>
  <si>
    <t xml:space="preserve">    Dep Exp-Store Equipments</t>
  </si>
  <si>
    <t>6006</t>
  </si>
  <si>
    <t xml:space="preserve"> Repairs &amp; Maintenance</t>
  </si>
  <si>
    <t>6006-01</t>
  </si>
  <si>
    <t xml:space="preserve">    R &amp; M- Building</t>
  </si>
  <si>
    <t>Repairs &amp; Maintenance</t>
  </si>
  <si>
    <t>6006-02</t>
  </si>
  <si>
    <t xml:space="preserve">    R &amp; M-Plant &amp; Machinery</t>
  </si>
  <si>
    <t>6006-03</t>
  </si>
  <si>
    <t xml:space="preserve">    R &amp; M-Fork Lifts &amp; Other Equipments</t>
  </si>
  <si>
    <t>6006-07</t>
  </si>
  <si>
    <t xml:space="preserve">    R &amp; M-Office Equipment</t>
  </si>
  <si>
    <t>6006-08</t>
  </si>
  <si>
    <t xml:space="preserve">    R &amp; M-Machine MIT # 6 (DSA-MICO-02)</t>
  </si>
  <si>
    <t>6006-09</t>
  </si>
  <si>
    <t xml:space="preserve">    R &amp; M Electrical - Exp</t>
  </si>
  <si>
    <t>6006-10</t>
  </si>
  <si>
    <t xml:space="preserve">    R &amp; M YEI Machine # 07 (DSA-YEI-01)</t>
  </si>
  <si>
    <t>6006-26</t>
  </si>
  <si>
    <t xml:space="preserve">    R &amp; M-Forklift Toyota</t>
  </si>
  <si>
    <t>6002-29</t>
  </si>
  <si>
    <t xml:space="preserve">    R &amp; M Mico -DSA/MICO/05</t>
  </si>
  <si>
    <t>6006-15</t>
  </si>
  <si>
    <t xml:space="preserve">    R &amp; M Nissan Forklift UNI CAREER Y1F2 (DSA-UF)-2</t>
  </si>
  <si>
    <t>6006-27</t>
  </si>
  <si>
    <t xml:space="preserve">    R &amp; M - Weighbridge</t>
  </si>
  <si>
    <t>6006-23</t>
  </si>
  <si>
    <t xml:space="preserve">    R &amp; M - PRESONA MACHINE</t>
  </si>
  <si>
    <t>6007</t>
  </si>
  <si>
    <t xml:space="preserve"> Repair &amp; Maint-Vehicles</t>
  </si>
  <si>
    <t>6007-02</t>
  </si>
  <si>
    <t xml:space="preserve">    R &amp; M Isuzu EVS-0321</t>
  </si>
  <si>
    <t>Repair &amp; Maint-Vehicles</t>
  </si>
  <si>
    <t>6007-06</t>
  </si>
  <si>
    <t xml:space="preserve">    R &amp; M -Staff Related Vehicle</t>
  </si>
  <si>
    <t>6007-09</t>
  </si>
  <si>
    <t xml:space="preserve">    R &amp; M -6486 TLA</t>
  </si>
  <si>
    <t>6007-32</t>
  </si>
  <si>
    <t xml:space="preserve">    R &amp; M Veh &amp; Machinery Service Charge</t>
  </si>
  <si>
    <t>6007-13</t>
  </si>
  <si>
    <t xml:space="preserve">    R &amp; M -9054-RJD</t>
  </si>
  <si>
    <t>6007-14</t>
  </si>
  <si>
    <t xml:space="preserve">    R &amp; M Exp-V-2634</t>
  </si>
  <si>
    <t>6008</t>
  </si>
  <si>
    <t xml:space="preserve"> Gasoline Expenses</t>
  </si>
  <si>
    <t>6008-02</t>
  </si>
  <si>
    <t xml:space="preserve">    Fuel - Generators &amp; ForkLifts</t>
  </si>
  <si>
    <t>Gasoline Expenses</t>
  </si>
  <si>
    <t>6008-04</t>
  </si>
  <si>
    <t xml:space="preserve">    Fuel Exp-V-4677 GEA</t>
  </si>
  <si>
    <t>6008-06</t>
  </si>
  <si>
    <t xml:space="preserve">    Fuel Exp EVS-0321</t>
  </si>
  <si>
    <t>6008-09</t>
  </si>
  <si>
    <t xml:space="preserve">    Fuel Exp-V-9054 RJD</t>
  </si>
  <si>
    <t>6008-42</t>
  </si>
  <si>
    <t xml:space="preserve">    Fuel Exp (V#4508 ) Rajesh</t>
  </si>
  <si>
    <t>6008-11</t>
  </si>
  <si>
    <t xml:space="preserve">    Fuel Exp-V-2634</t>
  </si>
  <si>
    <t>6008-13</t>
  </si>
  <si>
    <t xml:space="preserve">    Fuel Exp TLA - 6486</t>
  </si>
  <si>
    <t>6008-23</t>
  </si>
  <si>
    <t xml:space="preserve">    Fuel V#7797</t>
  </si>
  <si>
    <t>6008-41</t>
  </si>
  <si>
    <t xml:space="preserve">    Fuel Exp - EVB - 2317</t>
  </si>
  <si>
    <t>6009</t>
  </si>
  <si>
    <t xml:space="preserve"> Insurance</t>
  </si>
  <si>
    <t>6009-02</t>
  </si>
  <si>
    <t xml:space="preserve">    Insurance-Medical Exp</t>
  </si>
  <si>
    <t>Insurance</t>
  </si>
  <si>
    <t>6012</t>
  </si>
  <si>
    <t xml:space="preserve"> Other G &amp; A Expenses</t>
  </si>
  <si>
    <t>6012-23</t>
  </si>
  <si>
    <t xml:space="preserve">    Group Common Expenses</t>
  </si>
  <si>
    <t>Other G &amp; A Expenses</t>
  </si>
  <si>
    <t>6012-24</t>
  </si>
  <si>
    <t xml:space="preserve">    PGI Expenses Recoved</t>
  </si>
  <si>
    <t>6012-02</t>
  </si>
  <si>
    <t xml:space="preserve">    Office Supplies</t>
  </si>
  <si>
    <t>6012-09</t>
  </si>
  <si>
    <t xml:space="preserve">    Incentive Exp</t>
  </si>
  <si>
    <t>6012-01</t>
  </si>
  <si>
    <t xml:space="preserve">    Printing &amp; Stationery</t>
  </si>
  <si>
    <t>6025</t>
  </si>
  <si>
    <t xml:space="preserve"> Fees &amp; Subscription</t>
  </si>
  <si>
    <t>6025-12</t>
  </si>
  <si>
    <t xml:space="preserve">    Mwan Export License Fee</t>
  </si>
  <si>
    <t>Fees &amp; Subscription</t>
  </si>
  <si>
    <t>6025-06</t>
  </si>
  <si>
    <t xml:space="preserve">    Chamber Of Commerce Fee Exp</t>
  </si>
  <si>
    <t>6025-09</t>
  </si>
  <si>
    <t xml:space="preserve">    C-R License Fee</t>
  </si>
  <si>
    <t>6025-05</t>
  </si>
  <si>
    <t xml:space="preserve">    Subscription Fee</t>
  </si>
  <si>
    <t>6023</t>
  </si>
  <si>
    <t xml:space="preserve"> Utilities</t>
  </si>
  <si>
    <t>6023-01</t>
  </si>
  <si>
    <t xml:space="preserve">    Electricity For Off &amp; Factory</t>
  </si>
  <si>
    <t>Utilities</t>
  </si>
  <si>
    <t>6023-03</t>
  </si>
  <si>
    <t xml:space="preserve">    Gas &amp; Oxygen For Factory</t>
  </si>
  <si>
    <t>6023-04</t>
  </si>
  <si>
    <t xml:space="preserve">    Water For Office And Factory</t>
  </si>
  <si>
    <t>6023-05</t>
  </si>
  <si>
    <t xml:space="preserve">    Mobile Recharges Exp</t>
  </si>
  <si>
    <t>7000</t>
  </si>
  <si>
    <t xml:space="preserve"> Others Income &amp; Losses</t>
  </si>
  <si>
    <t>7000-06</t>
  </si>
  <si>
    <t xml:space="preserve">    Round-off Difference</t>
  </si>
  <si>
    <t>Others Income &amp; Losses</t>
  </si>
  <si>
    <t>7500</t>
  </si>
  <si>
    <t xml:space="preserve"> Financial Charges-FC</t>
  </si>
  <si>
    <t>7500-01</t>
  </si>
  <si>
    <t xml:space="preserve">    Bank Charges</t>
  </si>
  <si>
    <t>Financial Charges-FC</t>
  </si>
  <si>
    <t xml:space="preserve"> </t>
  </si>
  <si>
    <t xml:space="preserve">Total  </t>
  </si>
  <si>
    <t>Trial Balance  01-02-2026 To 28-02-2026</t>
  </si>
  <si>
    <t>0102-10</t>
  </si>
  <si>
    <t xml:space="preserve">        AL RAJHI BANK-45300-001-0006080453175</t>
  </si>
  <si>
    <t>0605-03</t>
  </si>
  <si>
    <t xml:space="preserve">    Saudi Steel Reinforcements Ltd.</t>
  </si>
  <si>
    <t>0400-20</t>
  </si>
  <si>
    <t xml:space="preserve">    Zomorrodah Factory Plastic Industries</t>
  </si>
  <si>
    <t>0400-27</t>
  </si>
  <si>
    <t xml:space="preserve">    NESMA PLASTIC FACTORY</t>
  </si>
  <si>
    <t>0400-40</t>
  </si>
  <si>
    <t xml:space="preserve">    Sama Bahrania Industrial Factory Co</t>
  </si>
  <si>
    <t>0400-41</t>
  </si>
  <si>
    <t xml:space="preserve">    Al Ibiraturia Al Hamra Plastic Trading LLC</t>
  </si>
  <si>
    <t>0400-45</t>
  </si>
  <si>
    <t xml:space="preserve">    Elite Bright Company For Plastic</t>
  </si>
  <si>
    <t>0400-54</t>
  </si>
  <si>
    <t xml:space="preserve">    Ahmed Abdul Aziz Badran Factory Co For Plastic And Paper</t>
  </si>
  <si>
    <t>0400-117</t>
  </si>
  <si>
    <t xml:space="preserve">    UMAIR SIDDIQUE TRADING Co.</t>
  </si>
  <si>
    <t>0400-121</t>
  </si>
  <si>
    <t xml:space="preserve">    AL SADARA FOR INDUSTRY COMPANY</t>
  </si>
  <si>
    <t>0400-134</t>
  </si>
  <si>
    <t xml:space="preserve">    Nufud Water Factory Co</t>
  </si>
  <si>
    <t>0400-143</t>
  </si>
  <si>
    <t xml:space="preserve">    Home Need Supplies Manufacturing Company</t>
  </si>
  <si>
    <t>0601-14</t>
  </si>
  <si>
    <t xml:space="preserve">    Prepaid Vehicle Insurance-Wataniya Insurance</t>
  </si>
  <si>
    <t>0602-042</t>
  </si>
  <si>
    <t xml:space="preserve">    Ashraf Ghazali ID-233</t>
  </si>
  <si>
    <t>0602-001</t>
  </si>
  <si>
    <t xml:space="preserve">    Usman Tanwar</t>
  </si>
  <si>
    <t>0602-004</t>
  </si>
  <si>
    <t xml:space="preserve">    Mohammed Omer Tanwer</t>
  </si>
  <si>
    <t>0602-046</t>
  </si>
  <si>
    <t xml:space="preserve">    Abdul Kalam Patan ID#259</t>
  </si>
  <si>
    <t>0602-045</t>
  </si>
  <si>
    <t xml:space="preserve">    Abdul Alim ID#531</t>
  </si>
  <si>
    <t>0602-035</t>
  </si>
  <si>
    <t xml:space="preserve">    Moinuddin Panwar ID# 174</t>
  </si>
  <si>
    <t>0602-027</t>
  </si>
  <si>
    <t xml:space="preserve">    Hossam Al-Bishri # 222</t>
  </si>
  <si>
    <t>0604-18</t>
  </si>
  <si>
    <t xml:space="preserve">    Chess International Trading Company B.V.</t>
  </si>
  <si>
    <t>0604-17</t>
  </si>
  <si>
    <t xml:space="preserve">    FAM Recycling Fzco</t>
  </si>
  <si>
    <t>0604-16</t>
  </si>
  <si>
    <t xml:space="preserve">    ABSM For Safey Devises</t>
  </si>
  <si>
    <t>0604-09</t>
  </si>
  <si>
    <t xml:space="preserve">    Saudi Can Co - Advance To Supplier</t>
  </si>
  <si>
    <t>0604-12</t>
  </si>
  <si>
    <t xml:space="preserve">    Pharmaceutical Solution Industry. Ltd</t>
  </si>
  <si>
    <t>2000</t>
  </si>
  <si>
    <t xml:space="preserve"> FA-Costs</t>
  </si>
  <si>
    <t>2000-01</t>
  </si>
  <si>
    <t xml:space="preserve">    Plants &amp; Machinery</t>
  </si>
  <si>
    <t>FA-Costs</t>
  </si>
  <si>
    <t>2000-03</t>
  </si>
  <si>
    <t xml:space="preserve">    Office Equipments</t>
  </si>
  <si>
    <t>2000-08</t>
  </si>
  <si>
    <t xml:space="preserve">    Lease Hold Improvements.</t>
  </si>
  <si>
    <t>3200-007</t>
  </si>
  <si>
    <t xml:space="preserve">    Ahmed Mohammed Saleh Baeshen &amp; Co</t>
  </si>
  <si>
    <t>3200-023</t>
  </si>
  <si>
    <t xml:space="preserve">    Fast Arrow Operation &amp; Maintenance</t>
  </si>
  <si>
    <t>3200-063</t>
  </si>
  <si>
    <t xml:space="preserve">    Nasr Packaging &amp; Printing</t>
  </si>
  <si>
    <t>3200-120</t>
  </si>
  <si>
    <t xml:space="preserve">    Saudi Plastic Factory</t>
  </si>
  <si>
    <t>3200-147</t>
  </si>
  <si>
    <t xml:space="preserve">    Mahmood Saeed Beverage Ind.Co.Ltd</t>
  </si>
  <si>
    <t>3200-151</t>
  </si>
  <si>
    <t xml:space="preserve">    Arabian Plastic Developed Co - Supplier</t>
  </si>
  <si>
    <t>3200-313</t>
  </si>
  <si>
    <t xml:space="preserve">    Bakriya Wire Steel Industries Co. Ltd</t>
  </si>
  <si>
    <t>3200-183</t>
  </si>
  <si>
    <t xml:space="preserve">    Al Yaqeen Advance Trading Est.</t>
  </si>
  <si>
    <t>3200-184</t>
  </si>
  <si>
    <t xml:space="preserve">    Pharmaceutical Solutions Industry Ltd - Supp</t>
  </si>
  <si>
    <t>3200-185</t>
  </si>
  <si>
    <t xml:space="preserve">    Bafarat Industrial Group L.L.C</t>
  </si>
  <si>
    <t>3200-193</t>
  </si>
  <si>
    <t xml:space="preserve">    Jamjoom Pharmaceuticals Co.</t>
  </si>
  <si>
    <t>3200-218</t>
  </si>
  <si>
    <t xml:space="preserve">    Naqaa Solutions Est For Environmental Services</t>
  </si>
  <si>
    <t>3200-221</t>
  </si>
  <si>
    <t xml:space="preserve">    Anas Ahmed Hashim Sobeeh Establishment</t>
  </si>
  <si>
    <t>3200-224</t>
  </si>
  <si>
    <t xml:space="preserve">    Riaz Ali Muhammad</t>
  </si>
  <si>
    <t>3200-227</t>
  </si>
  <si>
    <t>3200-233</t>
  </si>
  <si>
    <t xml:space="preserve">    Scottish Chemical Indsutries</t>
  </si>
  <si>
    <t>3200-235</t>
  </si>
  <si>
    <t xml:space="preserve">    Danube FoodStuff And Luxry Company</t>
  </si>
  <si>
    <t>3200-246</t>
  </si>
  <si>
    <t xml:space="preserve">    Naseej International Trading Company</t>
  </si>
  <si>
    <t>3200-261</t>
  </si>
  <si>
    <t xml:space="preserve">    ADVANCED PHARMACEUTICAL INDUSTRIES CO.LTD.</t>
  </si>
  <si>
    <t>3200-278</t>
  </si>
  <si>
    <t xml:space="preserve">    Tanami Al Raida Trading Co</t>
  </si>
  <si>
    <t>3200-293</t>
  </si>
  <si>
    <t xml:space="preserve">    PRESONA - Supplier</t>
  </si>
  <si>
    <t>3200-295</t>
  </si>
  <si>
    <t xml:space="preserve">    Mohammed Naser Al Hammadi Contracting</t>
  </si>
  <si>
    <t>3200-296</t>
  </si>
  <si>
    <t xml:space="preserve">    TA Logistics</t>
  </si>
  <si>
    <t>3200-299</t>
  </si>
  <si>
    <t xml:space="preserve">    RIMS INTERNATIONAL FZCO</t>
  </si>
  <si>
    <t>3200-305</t>
  </si>
  <si>
    <t xml:space="preserve">    Kianat Rose Trading Company Ltd</t>
  </si>
  <si>
    <t>3201-02</t>
  </si>
  <si>
    <t xml:space="preserve">    Micro Solution</t>
  </si>
  <si>
    <t>3201-06</t>
  </si>
  <si>
    <t xml:space="preserve">    Trans Overseas Est</t>
  </si>
  <si>
    <t>3260-05</t>
  </si>
  <si>
    <t xml:space="preserve">    Kites Equipmdent Rental Company LLC</t>
  </si>
  <si>
    <t>3270-04</t>
  </si>
  <si>
    <t xml:space="preserve">    Inter-Company -Green City International Trading Co</t>
  </si>
  <si>
    <t>3520</t>
  </si>
  <si>
    <t xml:space="preserve"> Fees Payable</t>
  </si>
  <si>
    <t>3520-04</t>
  </si>
  <si>
    <t xml:space="preserve">    Audit Fee Payable</t>
  </si>
  <si>
    <t>Fees Payable</t>
  </si>
  <si>
    <t>3560-01</t>
  </si>
  <si>
    <t xml:space="preserve">    Provision For LFA</t>
  </si>
  <si>
    <t>6006-05</t>
  </si>
  <si>
    <t xml:space="preserve">    Other Consumables</t>
  </si>
  <si>
    <t>6012-03</t>
  </si>
  <si>
    <t xml:space="preserve">    Loading &amp; Un-loading Exp</t>
  </si>
  <si>
    <t>6000-07</t>
  </si>
  <si>
    <t xml:space="preserve">    Medical Exp</t>
  </si>
  <si>
    <t>6006-28</t>
  </si>
  <si>
    <t xml:space="preserve">    R &amp; M- EPS Hot Melting Compress M-400</t>
  </si>
  <si>
    <t>6006-24</t>
  </si>
  <si>
    <t xml:space="preserve">    R&amp;M Mico MIT#5 (DSA-MICO-04)</t>
  </si>
  <si>
    <t>6006-25</t>
  </si>
  <si>
    <t xml:space="preserve">    R &amp; M Coreshredder</t>
  </si>
  <si>
    <t>6006-21</t>
  </si>
  <si>
    <t xml:space="preserve">    R &amp; M MICO MIT # 4 (DSA-MICO-03)</t>
  </si>
  <si>
    <t>6007-08</t>
  </si>
  <si>
    <t xml:space="preserve">    R &amp; M -4677-GEA</t>
  </si>
  <si>
    <t>6008-01</t>
  </si>
  <si>
    <t xml:space="preserve">    Fuel Exp</t>
  </si>
  <si>
    <t>6008-19</t>
  </si>
  <si>
    <t xml:space="preserve">    Fuel V#6942</t>
  </si>
  <si>
    <t>6008-35</t>
  </si>
  <si>
    <t xml:space="preserve">    Hydraulic &amp; Engine Oil</t>
  </si>
  <si>
    <t>6009-01</t>
  </si>
  <si>
    <t xml:space="preserve">    Insurance-Vehicle Exp</t>
  </si>
  <si>
    <t>6012-19</t>
  </si>
  <si>
    <t xml:space="preserve">    Taxi/Bus Fair</t>
  </si>
  <si>
    <t>6012-17</t>
  </si>
  <si>
    <t xml:space="preserve">    Traffic Fines</t>
  </si>
  <si>
    <t>6012-22</t>
  </si>
  <si>
    <t xml:space="preserve">    Parking Charges</t>
  </si>
  <si>
    <t>6025-07</t>
  </si>
  <si>
    <t xml:space="preserve">    Fines &amp; Penalities</t>
  </si>
  <si>
    <t>6025-14</t>
  </si>
  <si>
    <t xml:space="preserve">    Muqeem Points Recharge</t>
  </si>
  <si>
    <t>6023-02</t>
  </si>
  <si>
    <t xml:space="preserve">    Telephone Charges</t>
  </si>
  <si>
    <t>6026</t>
  </si>
  <si>
    <t xml:space="preserve"> Travelling Expenses</t>
  </si>
  <si>
    <t>6026-04</t>
  </si>
  <si>
    <t xml:space="preserve">    Air Ticket &amp; Railway Ticket Exp</t>
  </si>
  <si>
    <t>Travelling Expenses</t>
  </si>
  <si>
    <t>7000-07</t>
  </si>
  <si>
    <t xml:space="preserve">    Non-Claimable Vat</t>
  </si>
  <si>
    <t>Trial Balance  01-03-2026 To 31-03-2026</t>
  </si>
  <si>
    <t>0400-101</t>
  </si>
  <si>
    <t xml:space="preserve">    Sharifa Mufleh Khaled Al-Munaei Plastic Factory</t>
  </si>
  <si>
    <t>0400-132</t>
  </si>
  <si>
    <t xml:space="preserve">    East Harbor Trading Co.</t>
  </si>
  <si>
    <t>0400-145</t>
  </si>
  <si>
    <t xml:space="preserve">    Al Yaqeen Advanced Trading Co.New</t>
  </si>
  <si>
    <t>0400-144</t>
  </si>
  <si>
    <t xml:space="preserve">    Green City International Trading Company Receivable-New</t>
  </si>
  <si>
    <t>0602-047</t>
  </si>
  <si>
    <t xml:space="preserve">    Rajesh ID 136</t>
  </si>
  <si>
    <t>3200-149</t>
  </si>
  <si>
    <t xml:space="preserve">    Fatima Ali Mohammed Al Sharif Factory For Plastic - Supplie</t>
  </si>
  <si>
    <t>3200-275</t>
  </si>
  <si>
    <t xml:space="preserve">    Arabian Business Machines Co - ABM</t>
  </si>
  <si>
    <t>3200-314</t>
  </si>
  <si>
    <t xml:space="preserve">    Kreston Sindi Batterjee</t>
  </si>
  <si>
    <t>3200-308</t>
  </si>
  <si>
    <t xml:space="preserve">    AL-Saroor Al Arab Trading Est.</t>
  </si>
  <si>
    <t>3201-04</t>
  </si>
  <si>
    <t xml:space="preserve">    Rajesh A/C (Petty Cash Imprest Act)</t>
  </si>
  <si>
    <t>3270-15</t>
  </si>
  <si>
    <t xml:space="preserve">    Palmate Information Technologies Co</t>
  </si>
  <si>
    <t>3270-16</t>
  </si>
  <si>
    <t xml:space="preserve">    Investment In Tadweer Al Jazeera</t>
  </si>
  <si>
    <t>6012-11</t>
  </si>
  <si>
    <t xml:space="preserve">    Weightment Exp</t>
  </si>
  <si>
    <t>6000-11</t>
  </si>
  <si>
    <t xml:space="preserve">    Staff Insurance</t>
  </si>
  <si>
    <t>6009-03</t>
  </si>
  <si>
    <t xml:space="preserve">    Insurance-Cash In Safe Exp</t>
  </si>
  <si>
    <t>6012-08</t>
  </si>
  <si>
    <t xml:space="preserve">    Others / Business Promotion Exp</t>
  </si>
  <si>
    <t>6025-17</t>
  </si>
  <si>
    <t xml:space="preserve">    ISO Certification Expense</t>
  </si>
  <si>
    <t>Trial Balance  01-04-2026 To 30-04-2026</t>
  </si>
  <si>
    <t>0102-03</t>
  </si>
  <si>
    <t xml:space="preserve">        Riyad Bank IBAN- SA3120000001364256539940</t>
  </si>
  <si>
    <t>0400-39</t>
  </si>
  <si>
    <t xml:space="preserve">    JEDDAH GOLDEN WINGS INDUSTRIAL FACTORY</t>
  </si>
  <si>
    <t>0400-116</t>
  </si>
  <si>
    <t xml:space="preserve">    AMIRA SALEH AHMED ZAHRANI TRADING EST.</t>
  </si>
  <si>
    <t>0400-149</t>
  </si>
  <si>
    <t xml:space="preserve">    Rakaz Almasia Scrap And Recycling Est.</t>
  </si>
  <si>
    <t>0400-148</t>
  </si>
  <si>
    <t xml:space="preserve">    Arab Vision Trading EST</t>
  </si>
  <si>
    <t>0400-147</t>
  </si>
  <si>
    <t xml:space="preserve">    Ruyat Al-Tanfeeth Plastic &amp; Polymers</t>
  </si>
  <si>
    <t>0400-146</t>
  </si>
  <si>
    <t xml:space="preserve">    MATUWIRIN ALBLASTIC COMPANY</t>
  </si>
  <si>
    <t>0602-048</t>
  </si>
  <si>
    <t xml:space="preserve">    Ibrahim Ali Al Barkati ID-506</t>
  </si>
  <si>
    <t>0602-012</t>
  </si>
  <si>
    <t xml:space="preserve">    ROSHIDUL ISLAM RAJU ID-493</t>
  </si>
  <si>
    <t>0602-049</t>
  </si>
  <si>
    <t xml:space="preserve">    Khursheed Ahmad ID-623</t>
  </si>
  <si>
    <t>0604-08</t>
  </si>
  <si>
    <t xml:space="preserve">    Branch Makamin Trading Est - Advance To Supplier</t>
  </si>
  <si>
    <t>3200-315</t>
  </si>
  <si>
    <t xml:space="preserve">    RAYANCO SAUDI TRDING CO</t>
  </si>
  <si>
    <t>3200-111</t>
  </si>
  <si>
    <t xml:space="preserve">    Dadco Co</t>
  </si>
  <si>
    <t>3200-258</t>
  </si>
  <si>
    <t xml:space="preserve">    RECYCLE HUB TRADING CO</t>
  </si>
  <si>
    <t>3200-262</t>
  </si>
  <si>
    <t xml:space="preserve">    AHMAD MOHAMMAD AL-THURWI GENERAL CONTRACTING EST.</t>
  </si>
  <si>
    <t>3200-294</t>
  </si>
  <si>
    <t xml:space="preserve">    TDAOR SAUDI TRADING EST</t>
  </si>
  <si>
    <t>3200-318</t>
  </si>
  <si>
    <t xml:space="preserve">    Wadi Al Ahram Commercial Est.</t>
  </si>
  <si>
    <t>3260-03</t>
  </si>
  <si>
    <t xml:space="preserve">    Al Taj Al-Arabia Company For Industry</t>
  </si>
  <si>
    <t>6000-25</t>
  </si>
  <si>
    <t xml:space="preserve">    Inspection Charges</t>
  </si>
  <si>
    <t>6020-03</t>
  </si>
  <si>
    <t xml:space="preserve">    Customs Clearance Charges</t>
  </si>
  <si>
    <t>9000-03</t>
  </si>
  <si>
    <t xml:space="preserve">    Fire Fighting Expenses</t>
  </si>
  <si>
    <t>6006-04</t>
  </si>
  <si>
    <t xml:space="preserve">    R &amp; M-General (Elect &amp; Mech Spares)</t>
  </si>
  <si>
    <t>6006-14</t>
  </si>
  <si>
    <t xml:space="preserve">    R &amp; M Crusher Machine</t>
  </si>
  <si>
    <t>6006-16</t>
  </si>
  <si>
    <t xml:space="preserve">    R &amp; M Bailer Machine</t>
  </si>
  <si>
    <t>6006-36</t>
  </si>
  <si>
    <t xml:space="preserve">    R &amp; M Washing Plant (DSA-WP- 01)</t>
  </si>
  <si>
    <t>6025-04</t>
  </si>
  <si>
    <t xml:space="preserve">    Legal Service Fees</t>
  </si>
  <si>
    <t>6030</t>
  </si>
  <si>
    <t xml:space="preserve"> Entertainment</t>
  </si>
  <si>
    <t>6030-03</t>
  </si>
  <si>
    <t xml:space="preserve">    Refreshment Exp</t>
  </si>
  <si>
    <t>Entertainment</t>
  </si>
  <si>
    <t>Trial Balance  01-05-2026 To 31-05-2026</t>
  </si>
  <si>
    <t>0400-115</t>
  </si>
  <si>
    <t xml:space="preserve">    Ahmad Abdul Aziz Badran Factory</t>
  </si>
  <si>
    <t>0400-151</t>
  </si>
  <si>
    <t xml:space="preserve">    GREEN WEST EST</t>
  </si>
  <si>
    <t>0400-150</t>
  </si>
  <si>
    <t xml:space="preserve">    CRAFTWAVE COMPANY</t>
  </si>
  <si>
    <t>VOA1-005</t>
  </si>
  <si>
    <t xml:space="preserve">    Vat Receiveable</t>
  </si>
  <si>
    <t>0604-19</t>
  </si>
  <si>
    <t xml:space="preserve">    Manar Digital Business Company</t>
  </si>
  <si>
    <t>2000-02</t>
  </si>
  <si>
    <t xml:space="preserve">    Store Equipments</t>
  </si>
  <si>
    <t>2000-04</t>
  </si>
  <si>
    <t xml:space="preserve">    Vehicles</t>
  </si>
  <si>
    <t>3200-316</t>
  </si>
  <si>
    <t xml:space="preserve">    Qimat Al Sayadi Trading Company</t>
  </si>
  <si>
    <t>3200-317</t>
  </si>
  <si>
    <t xml:space="preserve">    AL AHKAM AL-TABIEIA FOR TRADE EST</t>
  </si>
  <si>
    <t>3200-319</t>
  </si>
  <si>
    <t xml:space="preserve">    ARABIAN CROWN CO</t>
  </si>
  <si>
    <t>3500</t>
  </si>
  <si>
    <t xml:space="preserve"> Salaries Payable</t>
  </si>
  <si>
    <t>3500-02</t>
  </si>
  <si>
    <t xml:space="preserve">    Incentive Payable</t>
  </si>
  <si>
    <t>Salaries Payable</t>
  </si>
  <si>
    <t>3570</t>
  </si>
  <si>
    <t xml:space="preserve"> Advance From Customer</t>
  </si>
  <si>
    <t>3570-03</t>
  </si>
  <si>
    <t xml:space="preserve">    Nesma Plastic Factory - Advance From Customer</t>
  </si>
  <si>
    <t>Advance From Customer</t>
  </si>
  <si>
    <t>6000-14</t>
  </si>
  <si>
    <t xml:space="preserve">    Recruiting / Visa Exp</t>
  </si>
  <si>
    <t>6000-17</t>
  </si>
  <si>
    <t xml:space="preserve">    Employees Iqama Exp</t>
  </si>
  <si>
    <t>6006-30</t>
  </si>
  <si>
    <t xml:space="preserve">    R&amp;M FORKLIFT (DS-WR-FKT-TOYOTA- 2)</t>
  </si>
  <si>
    <t>6006-29</t>
  </si>
  <si>
    <t xml:space="preserve">    R&amp;M FORKLIFT (DS-WR-FKT-TOYOTA- 1)</t>
  </si>
  <si>
    <t>6006-37</t>
  </si>
  <si>
    <t xml:space="preserve">    R&amp;M JCB POCLAIN -NEW</t>
  </si>
  <si>
    <t>6006-18</t>
  </si>
  <si>
    <t xml:space="preserve">    R &amp; M Zamil Chiller</t>
  </si>
  <si>
    <t>6007-33</t>
  </si>
  <si>
    <t xml:space="preserve">    R &amp; M AYAT PM-34 V#7114</t>
  </si>
  <si>
    <t>6012-12</t>
  </si>
  <si>
    <t xml:space="preserve">    Insurance Exp</t>
  </si>
  <si>
    <t>6012-18</t>
  </si>
  <si>
    <t xml:space="preserve">    Sewerage Dumping Charges</t>
  </si>
  <si>
    <t>6025-16</t>
  </si>
  <si>
    <t xml:space="preserve">    TAMM PORTAL FEE</t>
  </si>
  <si>
    <t>6025-11</t>
  </si>
  <si>
    <t xml:space="preserve">    Software Expenses</t>
  </si>
  <si>
    <t>6014</t>
  </si>
  <si>
    <t xml:space="preserve"> Computer Running Exp</t>
  </si>
  <si>
    <t>6014-01</t>
  </si>
  <si>
    <t xml:space="preserve">    Computer Exp</t>
  </si>
  <si>
    <t>Computer Running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</si>
</sst>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08080"/>
      </bottom>
      <diagonal/>
    </border>
    <border>
      <left style="hair">
        <color rgb="FF4F81BD"/>
      </left>
      <right style="hair">
        <color rgb="FF4F81BD"/>
      </right>
      <top style="hair">
        <color rgb="FF4F81BD"/>
      </top>
      <bottom style="hair">
        <color rgb="FF4F81BD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49" fontId="0" fillId="0" borderId="0" xfId="0" applyNumberFormat="1"/>
    <xf numFmtId="4" fontId="0" fillId="0" borderId="0" xfId="0" applyNumberFormat="1" applyAlignment="1">
      <alignment horizontal="right"/>
    </xf>
    <xf numFmtId="49" fontId="1" fillId="0" borderId="1" xfId="0" applyNumberFormat="1" applyFont="1" applyBorder="1"/>
    <xf numFmtId="4" fontId="1" fillId="0" borderId="1" xfId="0" applyNumberFormat="1" applyFont="1" applyBorder="1" applyAlignment="1">
      <alignment horizontal="right"/>
    </xf>
    <xf numFmtId="49" fontId="3" fillId="3" borderId="2" xfId="0" applyNumberFormat="1" applyFont="1" applyFill="1" applyBorder="1"/>
    <xf numFmtId="4" fontId="3" fillId="3" borderId="2" xfId="0" applyNumberFormat="1" applyFont="1" applyFill="1" applyBorder="1" applyAlignment="1">
      <alignment horizontal="right"/>
    </xf>
    <xf numFmtId="49" fontId="0" fillId="0" borderId="2" xfId="0" applyNumberFormat="1" applyBorder="1"/>
    <xf numFmtId="4" fontId="0" fillId="0" borderId="2" xfId="0" applyNumberFormat="1" applyBorder="1" applyAlignment="1">
      <alignment horizontal="right"/>
    </xf>
    <xf numFmtId="43" fontId="0" fillId="0" borderId="0" xfId="1" applyFont="1" applyAlignment="1">
      <alignment horizontal="right"/>
    </xf>
    <xf numFmtId="43" fontId="3" fillId="3" borderId="2" xfId="1" applyFont="1" applyFill="1" applyBorder="1" applyAlignment="1">
      <alignment horizontal="right"/>
    </xf>
    <xf numFmtId="43" fontId="0" fillId="0" borderId="2" xfId="1" applyFont="1" applyBorder="1" applyAlignment="1">
      <alignment horizontal="right"/>
    </xf>
    <xf numFmtId="43" fontId="1" fillId="0" borderId="1" xfId="1" applyFont="1" applyBorder="1" applyAlignment="1">
      <alignment horizontal="right"/>
    </xf>
    <xf numFmtId="43" fontId="0" fillId="0" borderId="0" xfId="1" applyFont="1"/>
    <xf numFmtId="49" fontId="1" fillId="4" borderId="2" xfId="0" applyNumberFormat="1" applyFont="1" applyFill="1" applyBorder="1"/>
    <xf numFmtId="43" fontId="1" fillId="4" borderId="2" xfId="1" applyFont="1" applyFill="1" applyBorder="1" applyAlignment="1">
      <alignment horizontal="right"/>
    </xf>
    <xf numFmtId="4" fontId="1" fillId="4" borderId="2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B6C0-A450-4188-9FCC-72763F246942}">
  <dimension ref="A1:J210"/>
  <sheetViews>
    <sheetView showGridLines="0" workbookViewId="0">
      <selection activeCell="G13" sqref="G13"/>
    </sheetView>
  </sheetViews>
  <sheetFormatPr defaultRowHeight="14.4" x14ac:dyDescent="0.3"/>
  <cols>
    <col min="2" max="2" width="9.21875" bestFit="1" customWidth="1"/>
    <col min="3" max="3" width="59.77734375" bestFit="1" customWidth="1"/>
    <col min="4" max="4" width="16.5546875" style="14" bestFit="1" customWidth="1"/>
    <col min="5" max="6" width="14.109375" style="14" bestFit="1" customWidth="1"/>
    <col min="7" max="7" width="13.77734375" style="14" bestFit="1" customWidth="1"/>
    <col min="8" max="8" width="15.44140625" style="14" bestFit="1" customWidth="1"/>
    <col min="9" max="9" width="29.6640625" bestFit="1" customWidth="1"/>
  </cols>
  <sheetData>
    <row r="1" spans="2:10" ht="20.100000000000001" customHeight="1" x14ac:dyDescent="0.3">
      <c r="B1" s="18" t="s">
        <v>0</v>
      </c>
      <c r="C1" s="19"/>
      <c r="D1" s="19"/>
      <c r="E1" s="19"/>
      <c r="F1" s="19"/>
      <c r="G1" s="19"/>
      <c r="H1" s="19"/>
      <c r="I1" s="19"/>
    </row>
    <row r="2" spans="2:10" x14ac:dyDescent="0.3">
      <c r="B2" s="18" t="s">
        <v>1</v>
      </c>
      <c r="C2" s="18"/>
      <c r="D2" s="18"/>
      <c r="E2" s="18"/>
      <c r="F2" s="18"/>
      <c r="G2" s="18"/>
      <c r="H2" s="18"/>
      <c r="I2" s="18"/>
    </row>
    <row r="3" spans="2:10" x14ac:dyDescent="0.3">
      <c r="B3" s="18"/>
      <c r="C3" s="18"/>
      <c r="D3" s="18"/>
      <c r="E3" s="18"/>
      <c r="F3" s="18"/>
      <c r="G3" s="18"/>
      <c r="H3" s="18"/>
      <c r="I3" s="18"/>
    </row>
    <row r="4" spans="2:10" x14ac:dyDescent="0.3">
      <c r="B4" s="2"/>
      <c r="C4" s="2"/>
      <c r="D4" s="10"/>
      <c r="E4" s="10"/>
      <c r="F4" s="10"/>
      <c r="G4" s="10"/>
      <c r="H4" s="10"/>
      <c r="I4" s="2"/>
    </row>
    <row r="5" spans="2:10" x14ac:dyDescent="0.3">
      <c r="B5" s="2"/>
      <c r="C5" s="2"/>
      <c r="D5" s="10"/>
      <c r="E5" s="10"/>
      <c r="F5" s="10"/>
      <c r="G5" s="10"/>
      <c r="H5" s="10"/>
      <c r="I5" s="2"/>
    </row>
    <row r="6" spans="2:10" x14ac:dyDescent="0.3">
      <c r="B6" s="6" t="s">
        <v>2</v>
      </c>
      <c r="C6" s="6" t="s">
        <v>3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  <c r="I6" s="6" t="s">
        <v>9</v>
      </c>
      <c r="J6" s="1"/>
    </row>
    <row r="7" spans="2:10" x14ac:dyDescent="0.3">
      <c r="B7" s="6"/>
      <c r="C7" s="6"/>
      <c r="D7" s="11"/>
      <c r="E7" s="11"/>
      <c r="F7" s="11"/>
      <c r="G7" s="11"/>
      <c r="H7" s="11"/>
      <c r="I7" s="6"/>
      <c r="J7" s="1"/>
    </row>
    <row r="8" spans="2:10" x14ac:dyDescent="0.3">
      <c r="B8" s="15" t="s">
        <v>10</v>
      </c>
      <c r="C8" s="15" t="s">
        <v>11</v>
      </c>
      <c r="D8" s="16"/>
      <c r="E8" s="16"/>
      <c r="F8" s="16"/>
      <c r="G8" s="16"/>
      <c r="H8" s="16"/>
      <c r="I8" s="15"/>
    </row>
    <row r="9" spans="2:10" x14ac:dyDescent="0.3">
      <c r="B9" s="8" t="s">
        <v>12</v>
      </c>
      <c r="C9" s="8" t="s">
        <v>13</v>
      </c>
      <c r="D9" s="12">
        <v>0</v>
      </c>
      <c r="E9" s="12">
        <v>1715913.34</v>
      </c>
      <c r="F9" s="12">
        <v>1715913.34</v>
      </c>
      <c r="G9" s="12">
        <f>E9-F9</f>
        <v>0</v>
      </c>
      <c r="H9" s="12">
        <f>D9+G9</f>
        <v>0</v>
      </c>
      <c r="I9" s="8" t="s">
        <v>14</v>
      </c>
    </row>
    <row r="10" spans="2:10" x14ac:dyDescent="0.3">
      <c r="B10" s="15" t="s">
        <v>15</v>
      </c>
      <c r="C10" s="15" t="s">
        <v>16</v>
      </c>
      <c r="D10" s="16"/>
      <c r="E10" s="16"/>
      <c r="F10" s="16"/>
      <c r="G10" s="16"/>
      <c r="H10" s="16"/>
      <c r="I10" s="15"/>
    </row>
    <row r="11" spans="2:10" x14ac:dyDescent="0.3">
      <c r="B11" s="15" t="s">
        <v>17</v>
      </c>
      <c r="C11" s="15" t="s">
        <v>18</v>
      </c>
      <c r="D11" s="16"/>
      <c r="E11" s="16"/>
      <c r="F11" s="16"/>
      <c r="G11" s="16"/>
      <c r="H11" s="16"/>
      <c r="I11" s="15"/>
    </row>
    <row r="12" spans="2:10" x14ac:dyDescent="0.3">
      <c r="B12" s="8" t="s">
        <v>19</v>
      </c>
      <c r="C12" s="8" t="s">
        <v>20</v>
      </c>
      <c r="D12" s="12">
        <v>0</v>
      </c>
      <c r="E12" s="12">
        <v>42081.98</v>
      </c>
      <c r="F12" s="12">
        <v>0</v>
      </c>
      <c r="G12" s="12">
        <f t="shared" ref="G12:G73" si="0">E12-F12</f>
        <v>42081.98</v>
      </c>
      <c r="H12" s="12">
        <f t="shared" ref="H12:H73" si="1">D12+G12</f>
        <v>42081.98</v>
      </c>
      <c r="I12" s="8" t="s">
        <v>21</v>
      </c>
    </row>
    <row r="13" spans="2:10" x14ac:dyDescent="0.3">
      <c r="B13" s="8" t="s">
        <v>22</v>
      </c>
      <c r="C13" s="8" t="s">
        <v>23</v>
      </c>
      <c r="D13" s="12">
        <v>0</v>
      </c>
      <c r="E13" s="12">
        <v>0</v>
      </c>
      <c r="F13" s="12">
        <v>3570</v>
      </c>
      <c r="G13" s="12">
        <f t="shared" si="0"/>
        <v>-3570</v>
      </c>
      <c r="H13" s="12">
        <f t="shared" si="1"/>
        <v>-3570</v>
      </c>
      <c r="I13" s="8" t="s">
        <v>21</v>
      </c>
    </row>
    <row r="14" spans="2:10" x14ac:dyDescent="0.3">
      <c r="B14" s="8" t="s">
        <v>24</v>
      </c>
      <c r="C14" s="8" t="s">
        <v>25</v>
      </c>
      <c r="D14" s="12">
        <v>0</v>
      </c>
      <c r="E14" s="12">
        <v>0</v>
      </c>
      <c r="F14" s="12">
        <v>578020.5</v>
      </c>
      <c r="G14" s="12">
        <f t="shared" si="0"/>
        <v>-578020.5</v>
      </c>
      <c r="H14" s="12">
        <f t="shared" si="1"/>
        <v>-578020.5</v>
      </c>
      <c r="I14" s="8" t="s">
        <v>21</v>
      </c>
    </row>
    <row r="15" spans="2:10" x14ac:dyDescent="0.3">
      <c r="B15" s="8" t="s">
        <v>26</v>
      </c>
      <c r="C15" s="8" t="s">
        <v>27</v>
      </c>
      <c r="D15" s="12">
        <v>0</v>
      </c>
      <c r="E15" s="12">
        <v>78564</v>
      </c>
      <c r="F15" s="12">
        <v>78564</v>
      </c>
      <c r="G15" s="12">
        <f t="shared" si="0"/>
        <v>0</v>
      </c>
      <c r="H15" s="12">
        <f t="shared" si="1"/>
        <v>0</v>
      </c>
      <c r="I15" s="8" t="s">
        <v>21</v>
      </c>
    </row>
    <row r="16" spans="2:10" x14ac:dyDescent="0.3">
      <c r="B16" s="15" t="s">
        <v>28</v>
      </c>
      <c r="C16" s="15" t="s">
        <v>29</v>
      </c>
      <c r="D16" s="16"/>
      <c r="E16" s="16"/>
      <c r="F16" s="16"/>
      <c r="G16" s="16"/>
      <c r="H16" s="16"/>
      <c r="I16" s="15"/>
    </row>
    <row r="17" spans="2:9" x14ac:dyDescent="0.3">
      <c r="B17" s="8" t="s">
        <v>30</v>
      </c>
      <c r="C17" s="8" t="s">
        <v>31</v>
      </c>
      <c r="D17" s="12">
        <v>0</v>
      </c>
      <c r="E17" s="12">
        <v>1854306.56</v>
      </c>
      <c r="F17" s="12">
        <v>1833838.7</v>
      </c>
      <c r="G17" s="12">
        <f t="shared" si="0"/>
        <v>20467.860000000102</v>
      </c>
      <c r="H17" s="12">
        <f t="shared" si="1"/>
        <v>20467.860000000102</v>
      </c>
      <c r="I17" s="8" t="s">
        <v>32</v>
      </c>
    </row>
    <row r="18" spans="2:9" x14ac:dyDescent="0.3">
      <c r="B18" s="15" t="s">
        <v>33</v>
      </c>
      <c r="C18" s="15" t="s">
        <v>34</v>
      </c>
      <c r="D18" s="16"/>
      <c r="E18" s="16"/>
      <c r="F18" s="16"/>
      <c r="G18" s="16"/>
      <c r="H18" s="16"/>
      <c r="I18" s="15"/>
    </row>
    <row r="19" spans="2:9" x14ac:dyDescent="0.3">
      <c r="B19" s="8" t="s">
        <v>35</v>
      </c>
      <c r="C19" s="8" t="s">
        <v>36</v>
      </c>
      <c r="D19" s="12">
        <v>0</v>
      </c>
      <c r="E19" s="12">
        <v>615852.55000000005</v>
      </c>
      <c r="F19" s="12">
        <v>0</v>
      </c>
      <c r="G19" s="12">
        <f t="shared" si="0"/>
        <v>615852.55000000005</v>
      </c>
      <c r="H19" s="12">
        <f t="shared" si="1"/>
        <v>615852.55000000005</v>
      </c>
      <c r="I19" s="8" t="s">
        <v>37</v>
      </c>
    </row>
    <row r="20" spans="2:9" x14ac:dyDescent="0.3">
      <c r="B20" s="15" t="s">
        <v>38</v>
      </c>
      <c r="C20" s="15" t="s">
        <v>39</v>
      </c>
      <c r="D20" s="16"/>
      <c r="E20" s="16"/>
      <c r="F20" s="16"/>
      <c r="G20" s="16"/>
      <c r="H20" s="16"/>
      <c r="I20" s="15"/>
    </row>
    <row r="21" spans="2:9" x14ac:dyDescent="0.3">
      <c r="B21" s="8" t="s">
        <v>40</v>
      </c>
      <c r="C21" s="8" t="s">
        <v>41</v>
      </c>
      <c r="D21" s="12">
        <v>0</v>
      </c>
      <c r="E21" s="12">
        <v>49312</v>
      </c>
      <c r="F21" s="12">
        <v>24656</v>
      </c>
      <c r="G21" s="12">
        <f t="shared" si="0"/>
        <v>24656</v>
      </c>
      <c r="H21" s="12">
        <f t="shared" si="1"/>
        <v>24656</v>
      </c>
      <c r="I21" s="8" t="s">
        <v>42</v>
      </c>
    </row>
    <row r="22" spans="2:9" x14ac:dyDescent="0.3">
      <c r="B22" s="8" t="s">
        <v>43</v>
      </c>
      <c r="C22" s="8" t="s">
        <v>44</v>
      </c>
      <c r="D22" s="12">
        <v>0</v>
      </c>
      <c r="E22" s="12">
        <v>14490</v>
      </c>
      <c r="F22" s="12">
        <v>14490</v>
      </c>
      <c r="G22" s="12">
        <f t="shared" si="0"/>
        <v>0</v>
      </c>
      <c r="H22" s="12">
        <f t="shared" si="1"/>
        <v>0</v>
      </c>
      <c r="I22" s="8" t="s">
        <v>42</v>
      </c>
    </row>
    <row r="23" spans="2:9" x14ac:dyDescent="0.3">
      <c r="B23" s="8" t="s">
        <v>45</v>
      </c>
      <c r="C23" s="8" t="s">
        <v>46</v>
      </c>
      <c r="D23" s="12">
        <v>0</v>
      </c>
      <c r="E23" s="12">
        <v>2656.56</v>
      </c>
      <c r="F23" s="12">
        <v>2657</v>
      </c>
      <c r="G23" s="12">
        <f t="shared" si="0"/>
        <v>-0.44000000000005457</v>
      </c>
      <c r="H23" s="12">
        <f t="shared" si="1"/>
        <v>-0.44000000000005457</v>
      </c>
      <c r="I23" s="8" t="s">
        <v>42</v>
      </c>
    </row>
    <row r="24" spans="2:9" x14ac:dyDescent="0.3">
      <c r="B24" s="8" t="s">
        <v>47</v>
      </c>
      <c r="C24" s="8" t="s">
        <v>48</v>
      </c>
      <c r="D24" s="12">
        <v>0</v>
      </c>
      <c r="E24" s="12">
        <v>2173.5</v>
      </c>
      <c r="F24" s="12">
        <v>2173.5</v>
      </c>
      <c r="G24" s="12">
        <f t="shared" si="0"/>
        <v>0</v>
      </c>
      <c r="H24" s="12">
        <f t="shared" si="1"/>
        <v>0</v>
      </c>
      <c r="I24" s="8" t="s">
        <v>42</v>
      </c>
    </row>
    <row r="25" spans="2:9" x14ac:dyDescent="0.3">
      <c r="B25" s="8" t="s">
        <v>49</v>
      </c>
      <c r="C25" s="8" t="s">
        <v>50</v>
      </c>
      <c r="D25" s="12">
        <v>0</v>
      </c>
      <c r="E25" s="12">
        <v>9499</v>
      </c>
      <c r="F25" s="12">
        <v>0</v>
      </c>
      <c r="G25" s="12">
        <f t="shared" si="0"/>
        <v>9499</v>
      </c>
      <c r="H25" s="12">
        <f t="shared" si="1"/>
        <v>9499</v>
      </c>
      <c r="I25" s="8" t="s">
        <v>42</v>
      </c>
    </row>
    <row r="26" spans="2:9" x14ac:dyDescent="0.3">
      <c r="B26" s="8" t="s">
        <v>51</v>
      </c>
      <c r="C26" s="8" t="s">
        <v>52</v>
      </c>
      <c r="D26" s="12">
        <v>0</v>
      </c>
      <c r="E26" s="12">
        <v>29426.2</v>
      </c>
      <c r="F26" s="12">
        <v>26501</v>
      </c>
      <c r="G26" s="12">
        <f t="shared" si="0"/>
        <v>2925.2000000000007</v>
      </c>
      <c r="H26" s="12">
        <f t="shared" si="1"/>
        <v>2925.2000000000007</v>
      </c>
      <c r="I26" s="8" t="s">
        <v>42</v>
      </c>
    </row>
    <row r="27" spans="2:9" x14ac:dyDescent="0.3">
      <c r="B27" s="8" t="s">
        <v>53</v>
      </c>
      <c r="C27" s="8" t="s">
        <v>54</v>
      </c>
      <c r="D27" s="12">
        <v>0</v>
      </c>
      <c r="E27" s="12">
        <v>5685.6</v>
      </c>
      <c r="F27" s="12">
        <v>0</v>
      </c>
      <c r="G27" s="12">
        <f t="shared" si="0"/>
        <v>5685.6</v>
      </c>
      <c r="H27" s="12">
        <f t="shared" si="1"/>
        <v>5685.6</v>
      </c>
      <c r="I27" s="8" t="s">
        <v>42</v>
      </c>
    </row>
    <row r="28" spans="2:9" x14ac:dyDescent="0.3">
      <c r="B28" s="8" t="s">
        <v>55</v>
      </c>
      <c r="C28" s="8" t="s">
        <v>56</v>
      </c>
      <c r="D28" s="12">
        <v>0</v>
      </c>
      <c r="E28" s="12">
        <v>245906.8</v>
      </c>
      <c r="F28" s="12">
        <v>121660</v>
      </c>
      <c r="G28" s="12">
        <f t="shared" si="0"/>
        <v>124246.79999999999</v>
      </c>
      <c r="H28" s="12">
        <f t="shared" si="1"/>
        <v>124246.79999999999</v>
      </c>
      <c r="I28" s="8" t="s">
        <v>42</v>
      </c>
    </row>
    <row r="29" spans="2:9" x14ac:dyDescent="0.3">
      <c r="B29" s="8" t="s">
        <v>57</v>
      </c>
      <c r="C29" s="8" t="s">
        <v>58</v>
      </c>
      <c r="D29" s="12">
        <v>0</v>
      </c>
      <c r="E29" s="12">
        <v>0</v>
      </c>
      <c r="F29" s="12">
        <v>2040</v>
      </c>
      <c r="G29" s="12">
        <f t="shared" si="0"/>
        <v>-2040</v>
      </c>
      <c r="H29" s="12">
        <f t="shared" si="1"/>
        <v>-2040</v>
      </c>
      <c r="I29" s="8" t="s">
        <v>42</v>
      </c>
    </row>
    <row r="30" spans="2:9" x14ac:dyDescent="0.3">
      <c r="B30" s="8" t="s">
        <v>59</v>
      </c>
      <c r="C30" s="8" t="s">
        <v>60</v>
      </c>
      <c r="D30" s="12">
        <v>0</v>
      </c>
      <c r="E30" s="12">
        <v>11040</v>
      </c>
      <c r="F30" s="12">
        <v>11040</v>
      </c>
      <c r="G30" s="12">
        <f t="shared" si="0"/>
        <v>0</v>
      </c>
      <c r="H30" s="12">
        <f t="shared" si="1"/>
        <v>0</v>
      </c>
      <c r="I30" s="8" t="s">
        <v>42</v>
      </c>
    </row>
    <row r="31" spans="2:9" x14ac:dyDescent="0.3">
      <c r="B31" s="8" t="s">
        <v>61</v>
      </c>
      <c r="C31" s="8" t="s">
        <v>62</v>
      </c>
      <c r="D31" s="12">
        <v>0</v>
      </c>
      <c r="E31" s="12">
        <v>49737.5</v>
      </c>
      <c r="F31" s="12">
        <v>0</v>
      </c>
      <c r="G31" s="12">
        <f t="shared" si="0"/>
        <v>49737.5</v>
      </c>
      <c r="H31" s="12">
        <f t="shared" si="1"/>
        <v>49737.5</v>
      </c>
      <c r="I31" s="8" t="s">
        <v>42</v>
      </c>
    </row>
    <row r="32" spans="2:9" x14ac:dyDescent="0.3">
      <c r="B32" s="8" t="s">
        <v>63</v>
      </c>
      <c r="C32" s="8" t="s">
        <v>64</v>
      </c>
      <c r="D32" s="12">
        <v>0</v>
      </c>
      <c r="E32" s="12">
        <v>45652.13</v>
      </c>
      <c r="F32" s="12">
        <v>0</v>
      </c>
      <c r="G32" s="12">
        <f t="shared" si="0"/>
        <v>45652.13</v>
      </c>
      <c r="H32" s="12">
        <f t="shared" si="1"/>
        <v>45652.13</v>
      </c>
      <c r="I32" s="8" t="s">
        <v>42</v>
      </c>
    </row>
    <row r="33" spans="2:9" x14ac:dyDescent="0.3">
      <c r="B33" s="8" t="s">
        <v>65</v>
      </c>
      <c r="C33" s="8" t="s">
        <v>66</v>
      </c>
      <c r="D33" s="12">
        <v>0</v>
      </c>
      <c r="E33" s="12">
        <v>53491.1</v>
      </c>
      <c r="F33" s="12">
        <v>25000</v>
      </c>
      <c r="G33" s="12">
        <f t="shared" si="0"/>
        <v>28491.1</v>
      </c>
      <c r="H33" s="12">
        <f t="shared" si="1"/>
        <v>28491.1</v>
      </c>
      <c r="I33" s="8" t="s">
        <v>42</v>
      </c>
    </row>
    <row r="34" spans="2:9" x14ac:dyDescent="0.3">
      <c r="B34" s="8" t="s">
        <v>67</v>
      </c>
      <c r="C34" s="8" t="s">
        <v>68</v>
      </c>
      <c r="D34" s="12">
        <v>0</v>
      </c>
      <c r="E34" s="12">
        <v>185633.45</v>
      </c>
      <c r="F34" s="12">
        <v>0</v>
      </c>
      <c r="G34" s="12">
        <f t="shared" si="0"/>
        <v>185633.45</v>
      </c>
      <c r="H34" s="12">
        <f t="shared" si="1"/>
        <v>185633.45</v>
      </c>
      <c r="I34" s="8" t="s">
        <v>42</v>
      </c>
    </row>
    <row r="35" spans="2:9" x14ac:dyDescent="0.3">
      <c r="B35" s="8" t="s">
        <v>69</v>
      </c>
      <c r="C35" s="8" t="s">
        <v>70</v>
      </c>
      <c r="D35" s="12">
        <v>0</v>
      </c>
      <c r="E35" s="12">
        <v>101512.8</v>
      </c>
      <c r="F35" s="12">
        <v>69441</v>
      </c>
      <c r="G35" s="12">
        <f t="shared" si="0"/>
        <v>32071.800000000003</v>
      </c>
      <c r="H35" s="12">
        <f t="shared" si="1"/>
        <v>32071.800000000003</v>
      </c>
      <c r="I35" s="8" t="s">
        <v>42</v>
      </c>
    </row>
    <row r="36" spans="2:9" x14ac:dyDescent="0.3">
      <c r="B36" s="8" t="s">
        <v>71</v>
      </c>
      <c r="C36" s="8" t="s">
        <v>72</v>
      </c>
      <c r="D36" s="12">
        <v>0</v>
      </c>
      <c r="E36" s="12">
        <v>4728.34</v>
      </c>
      <c r="F36" s="12">
        <v>4728</v>
      </c>
      <c r="G36" s="12">
        <f t="shared" si="0"/>
        <v>0.34000000000014552</v>
      </c>
      <c r="H36" s="12">
        <f t="shared" si="1"/>
        <v>0.34000000000014552</v>
      </c>
      <c r="I36" s="8" t="s">
        <v>42</v>
      </c>
    </row>
    <row r="37" spans="2:9" x14ac:dyDescent="0.3">
      <c r="B37" s="8" t="s">
        <v>73</v>
      </c>
      <c r="C37" s="8" t="s">
        <v>74</v>
      </c>
      <c r="D37" s="12">
        <v>0</v>
      </c>
      <c r="E37" s="12">
        <v>92172.5</v>
      </c>
      <c r="F37" s="12">
        <v>92172.5</v>
      </c>
      <c r="G37" s="12">
        <f t="shared" si="0"/>
        <v>0</v>
      </c>
      <c r="H37" s="12">
        <f t="shared" si="1"/>
        <v>0</v>
      </c>
      <c r="I37" s="8" t="s">
        <v>42</v>
      </c>
    </row>
    <row r="38" spans="2:9" x14ac:dyDescent="0.3">
      <c r="B38" s="8" t="s">
        <v>75</v>
      </c>
      <c r="C38" s="8" t="s">
        <v>76</v>
      </c>
      <c r="D38" s="12">
        <v>0</v>
      </c>
      <c r="E38" s="12">
        <v>32672.65</v>
      </c>
      <c r="F38" s="12">
        <v>18620</v>
      </c>
      <c r="G38" s="12">
        <f t="shared" si="0"/>
        <v>14052.650000000001</v>
      </c>
      <c r="H38" s="12">
        <f t="shared" si="1"/>
        <v>14052.650000000001</v>
      </c>
      <c r="I38" s="8" t="s">
        <v>42</v>
      </c>
    </row>
    <row r="39" spans="2:9" x14ac:dyDescent="0.3">
      <c r="B39" s="8" t="s">
        <v>77</v>
      </c>
      <c r="C39" s="8" t="s">
        <v>78</v>
      </c>
      <c r="D39" s="12">
        <v>0</v>
      </c>
      <c r="E39" s="12">
        <v>16100</v>
      </c>
      <c r="F39" s="12">
        <v>16100</v>
      </c>
      <c r="G39" s="12">
        <f t="shared" si="0"/>
        <v>0</v>
      </c>
      <c r="H39" s="12">
        <f t="shared" si="1"/>
        <v>0</v>
      </c>
      <c r="I39" s="8" t="s">
        <v>42</v>
      </c>
    </row>
    <row r="40" spans="2:9" x14ac:dyDescent="0.3">
      <c r="B40" s="8" t="s">
        <v>79</v>
      </c>
      <c r="C40" s="8" t="s">
        <v>80</v>
      </c>
      <c r="D40" s="12">
        <v>0</v>
      </c>
      <c r="E40" s="12">
        <v>13455</v>
      </c>
      <c r="F40" s="12">
        <v>13455</v>
      </c>
      <c r="G40" s="12">
        <f t="shared" si="0"/>
        <v>0</v>
      </c>
      <c r="H40" s="12">
        <f t="shared" si="1"/>
        <v>0</v>
      </c>
      <c r="I40" s="8" t="s">
        <v>42</v>
      </c>
    </row>
    <row r="41" spans="2:9" x14ac:dyDescent="0.3">
      <c r="B41" s="8" t="s">
        <v>81</v>
      </c>
      <c r="C41" s="8" t="s">
        <v>82</v>
      </c>
      <c r="D41" s="12">
        <v>0</v>
      </c>
      <c r="E41" s="12">
        <v>7473.85</v>
      </c>
      <c r="F41" s="12">
        <v>3000</v>
      </c>
      <c r="G41" s="12">
        <f t="shared" si="0"/>
        <v>4473.8500000000004</v>
      </c>
      <c r="H41" s="12">
        <f t="shared" si="1"/>
        <v>4473.8500000000004</v>
      </c>
      <c r="I41" s="8" t="s">
        <v>42</v>
      </c>
    </row>
    <row r="42" spans="2:9" x14ac:dyDescent="0.3">
      <c r="B42" s="8" t="s">
        <v>83</v>
      </c>
      <c r="C42" s="8" t="s">
        <v>84</v>
      </c>
      <c r="D42" s="12">
        <v>0</v>
      </c>
      <c r="E42" s="12">
        <v>24170.93</v>
      </c>
      <c r="F42" s="12">
        <v>0</v>
      </c>
      <c r="G42" s="12">
        <f t="shared" si="0"/>
        <v>24170.93</v>
      </c>
      <c r="H42" s="12">
        <f t="shared" si="1"/>
        <v>24170.93</v>
      </c>
      <c r="I42" s="8" t="s">
        <v>42</v>
      </c>
    </row>
    <row r="43" spans="2:9" x14ac:dyDescent="0.3">
      <c r="B43" s="8" t="s">
        <v>85</v>
      </c>
      <c r="C43" s="8" t="s">
        <v>86</v>
      </c>
      <c r="D43" s="12">
        <v>0</v>
      </c>
      <c r="E43" s="12">
        <v>179343.26</v>
      </c>
      <c r="F43" s="12">
        <v>15852.67</v>
      </c>
      <c r="G43" s="12">
        <f t="shared" si="0"/>
        <v>163490.59</v>
      </c>
      <c r="H43" s="12">
        <f t="shared" si="1"/>
        <v>163490.59</v>
      </c>
      <c r="I43" s="8" t="s">
        <v>42</v>
      </c>
    </row>
    <row r="44" spans="2:9" x14ac:dyDescent="0.3">
      <c r="B44" s="8" t="s">
        <v>87</v>
      </c>
      <c r="C44" s="8" t="s">
        <v>88</v>
      </c>
      <c r="D44" s="12">
        <v>0</v>
      </c>
      <c r="E44" s="12">
        <v>14950</v>
      </c>
      <c r="F44" s="12">
        <v>11995</v>
      </c>
      <c r="G44" s="12">
        <f t="shared" si="0"/>
        <v>2955</v>
      </c>
      <c r="H44" s="12">
        <f t="shared" si="1"/>
        <v>2955</v>
      </c>
      <c r="I44" s="8" t="s">
        <v>42</v>
      </c>
    </row>
    <row r="45" spans="2:9" x14ac:dyDescent="0.3">
      <c r="B45" s="8" t="s">
        <v>89</v>
      </c>
      <c r="C45" s="8" t="s">
        <v>90</v>
      </c>
      <c r="D45" s="12">
        <v>0</v>
      </c>
      <c r="E45" s="12">
        <v>389102.5</v>
      </c>
      <c r="F45" s="12">
        <v>323019.34000000003</v>
      </c>
      <c r="G45" s="12">
        <f t="shared" si="0"/>
        <v>66083.159999999974</v>
      </c>
      <c r="H45" s="12">
        <f t="shared" si="1"/>
        <v>66083.159999999974</v>
      </c>
      <c r="I45" s="8" t="s">
        <v>42</v>
      </c>
    </row>
    <row r="46" spans="2:9" x14ac:dyDescent="0.3">
      <c r="B46" s="8" t="s">
        <v>91</v>
      </c>
      <c r="C46" s="8" t="s">
        <v>92</v>
      </c>
      <c r="D46" s="12">
        <v>0</v>
      </c>
      <c r="E46" s="12">
        <v>33575.4</v>
      </c>
      <c r="F46" s="12">
        <v>0</v>
      </c>
      <c r="G46" s="12">
        <f t="shared" si="0"/>
        <v>33575.4</v>
      </c>
      <c r="H46" s="12">
        <f t="shared" si="1"/>
        <v>33575.4</v>
      </c>
      <c r="I46" s="8" t="s">
        <v>42</v>
      </c>
    </row>
    <row r="47" spans="2:9" x14ac:dyDescent="0.3">
      <c r="B47" s="8" t="s">
        <v>93</v>
      </c>
      <c r="C47" s="8" t="s">
        <v>94</v>
      </c>
      <c r="D47" s="12">
        <v>0</v>
      </c>
      <c r="E47" s="12">
        <v>77004</v>
      </c>
      <c r="F47" s="12">
        <v>65000</v>
      </c>
      <c r="G47" s="12">
        <f t="shared" si="0"/>
        <v>12004</v>
      </c>
      <c r="H47" s="12">
        <f t="shared" si="1"/>
        <v>12004</v>
      </c>
      <c r="I47" s="8" t="s">
        <v>42</v>
      </c>
    </row>
    <row r="48" spans="2:9" x14ac:dyDescent="0.3">
      <c r="B48" s="8" t="s">
        <v>95</v>
      </c>
      <c r="C48" s="8" t="s">
        <v>96</v>
      </c>
      <c r="D48" s="12">
        <v>0</v>
      </c>
      <c r="E48" s="12">
        <v>2346</v>
      </c>
      <c r="F48" s="12">
        <v>2346</v>
      </c>
      <c r="G48" s="12">
        <f t="shared" si="0"/>
        <v>0</v>
      </c>
      <c r="H48" s="12">
        <f t="shared" si="1"/>
        <v>0</v>
      </c>
      <c r="I48" s="8" t="s">
        <v>42</v>
      </c>
    </row>
    <row r="49" spans="2:9" x14ac:dyDescent="0.3">
      <c r="B49" s="8" t="s">
        <v>97</v>
      </c>
      <c r="C49" s="8" t="s">
        <v>98</v>
      </c>
      <c r="D49" s="12">
        <v>0</v>
      </c>
      <c r="E49" s="12">
        <v>97701.01</v>
      </c>
      <c r="F49" s="12">
        <v>20000</v>
      </c>
      <c r="G49" s="12">
        <f t="shared" si="0"/>
        <v>77701.009999999995</v>
      </c>
      <c r="H49" s="12">
        <f t="shared" si="1"/>
        <v>77701.009999999995</v>
      </c>
      <c r="I49" s="8" t="s">
        <v>42</v>
      </c>
    </row>
    <row r="50" spans="2:9" x14ac:dyDescent="0.3">
      <c r="B50" s="8" t="s">
        <v>99</v>
      </c>
      <c r="C50" s="8" t="s">
        <v>100</v>
      </c>
      <c r="D50" s="12">
        <v>0</v>
      </c>
      <c r="E50" s="12">
        <v>129260.58</v>
      </c>
      <c r="F50" s="12">
        <v>124734.75</v>
      </c>
      <c r="G50" s="12">
        <f t="shared" si="0"/>
        <v>4525.8300000000017</v>
      </c>
      <c r="H50" s="12">
        <f t="shared" si="1"/>
        <v>4525.8300000000017</v>
      </c>
      <c r="I50" s="8" t="s">
        <v>42</v>
      </c>
    </row>
    <row r="51" spans="2:9" x14ac:dyDescent="0.3">
      <c r="B51" s="8" t="s">
        <v>101</v>
      </c>
      <c r="C51" s="8" t="s">
        <v>102</v>
      </c>
      <c r="D51" s="12">
        <v>0</v>
      </c>
      <c r="E51" s="12">
        <v>2649.6</v>
      </c>
      <c r="F51" s="12">
        <v>2649.6</v>
      </c>
      <c r="G51" s="12">
        <f t="shared" si="0"/>
        <v>0</v>
      </c>
      <c r="H51" s="12">
        <f t="shared" si="1"/>
        <v>0</v>
      </c>
      <c r="I51" s="8" t="s">
        <v>42</v>
      </c>
    </row>
    <row r="52" spans="2:9" x14ac:dyDescent="0.3">
      <c r="B52" s="8" t="s">
        <v>103</v>
      </c>
      <c r="C52" s="8" t="s">
        <v>104</v>
      </c>
      <c r="D52" s="12">
        <v>0</v>
      </c>
      <c r="E52" s="12">
        <v>3095.43</v>
      </c>
      <c r="F52" s="12">
        <v>4046.63</v>
      </c>
      <c r="G52" s="12">
        <f t="shared" si="0"/>
        <v>-951.20000000000027</v>
      </c>
      <c r="H52" s="12">
        <f t="shared" si="1"/>
        <v>-951.20000000000027</v>
      </c>
      <c r="I52" s="8" t="s">
        <v>42</v>
      </c>
    </row>
    <row r="53" spans="2:9" x14ac:dyDescent="0.3">
      <c r="B53" s="8" t="s">
        <v>105</v>
      </c>
      <c r="C53" s="8" t="s">
        <v>106</v>
      </c>
      <c r="D53" s="12">
        <v>0</v>
      </c>
      <c r="E53" s="12">
        <v>1159.2</v>
      </c>
      <c r="F53" s="12">
        <v>1159</v>
      </c>
      <c r="G53" s="12">
        <f t="shared" si="0"/>
        <v>0.20000000000004547</v>
      </c>
      <c r="H53" s="12">
        <f t="shared" si="1"/>
        <v>0.20000000000004547</v>
      </c>
      <c r="I53" s="8" t="s">
        <v>42</v>
      </c>
    </row>
    <row r="54" spans="2:9" x14ac:dyDescent="0.3">
      <c r="B54" s="8" t="s">
        <v>107</v>
      </c>
      <c r="C54" s="8" t="s">
        <v>108</v>
      </c>
      <c r="D54" s="12">
        <v>0</v>
      </c>
      <c r="E54" s="12">
        <v>92522.1</v>
      </c>
      <c r="F54" s="12">
        <v>60061.8</v>
      </c>
      <c r="G54" s="12">
        <f t="shared" si="0"/>
        <v>32460.300000000003</v>
      </c>
      <c r="H54" s="12">
        <f t="shared" si="1"/>
        <v>32460.300000000003</v>
      </c>
      <c r="I54" s="8" t="s">
        <v>42</v>
      </c>
    </row>
    <row r="55" spans="2:9" x14ac:dyDescent="0.3">
      <c r="B55" s="8" t="s">
        <v>109</v>
      </c>
      <c r="C55" s="8" t="s">
        <v>110</v>
      </c>
      <c r="D55" s="12">
        <v>0</v>
      </c>
      <c r="E55" s="12">
        <v>918.85</v>
      </c>
      <c r="F55" s="12">
        <v>1.1499999999999999</v>
      </c>
      <c r="G55" s="12">
        <f t="shared" si="0"/>
        <v>917.7</v>
      </c>
      <c r="H55" s="12">
        <f t="shared" si="1"/>
        <v>917.7</v>
      </c>
      <c r="I55" s="8" t="s">
        <v>42</v>
      </c>
    </row>
    <row r="56" spans="2:9" x14ac:dyDescent="0.3">
      <c r="B56" s="8" t="s">
        <v>111</v>
      </c>
      <c r="C56" s="8" t="s">
        <v>112</v>
      </c>
      <c r="D56" s="12">
        <v>0</v>
      </c>
      <c r="E56" s="12">
        <v>112860</v>
      </c>
      <c r="F56" s="12">
        <v>78564</v>
      </c>
      <c r="G56" s="12">
        <f t="shared" si="0"/>
        <v>34296</v>
      </c>
      <c r="H56" s="12">
        <f t="shared" si="1"/>
        <v>34296</v>
      </c>
      <c r="I56" s="8" t="s">
        <v>42</v>
      </c>
    </row>
    <row r="57" spans="2:9" x14ac:dyDescent="0.3">
      <c r="B57" s="8" t="s">
        <v>113</v>
      </c>
      <c r="C57" s="8" t="s">
        <v>114</v>
      </c>
      <c r="D57" s="12">
        <v>0</v>
      </c>
      <c r="E57" s="12">
        <v>27657.5</v>
      </c>
      <c r="F57" s="12">
        <v>0</v>
      </c>
      <c r="G57" s="12">
        <f t="shared" si="0"/>
        <v>27657.5</v>
      </c>
      <c r="H57" s="12">
        <f t="shared" si="1"/>
        <v>27657.5</v>
      </c>
      <c r="I57" s="8" t="s">
        <v>42</v>
      </c>
    </row>
    <row r="58" spans="2:9" x14ac:dyDescent="0.3">
      <c r="B58" s="15" t="s">
        <v>115</v>
      </c>
      <c r="C58" s="15" t="s">
        <v>116</v>
      </c>
      <c r="D58" s="16"/>
      <c r="E58" s="16"/>
      <c r="F58" s="16"/>
      <c r="G58" s="16"/>
      <c r="H58" s="16"/>
      <c r="I58" s="15"/>
    </row>
    <row r="59" spans="2:9" x14ac:dyDescent="0.3">
      <c r="B59" s="8" t="s">
        <v>117</v>
      </c>
      <c r="C59" s="8" t="s">
        <v>118</v>
      </c>
      <c r="D59" s="12">
        <v>0</v>
      </c>
      <c r="E59" s="12">
        <v>106595.8</v>
      </c>
      <c r="F59" s="12">
        <v>106595.8</v>
      </c>
      <c r="G59" s="12">
        <f t="shared" si="0"/>
        <v>0</v>
      </c>
      <c r="H59" s="12">
        <f t="shared" si="1"/>
        <v>0</v>
      </c>
      <c r="I59" s="8" t="s">
        <v>119</v>
      </c>
    </row>
    <row r="60" spans="2:9" x14ac:dyDescent="0.3">
      <c r="B60" s="8" t="s">
        <v>120</v>
      </c>
      <c r="C60" s="8" t="s">
        <v>121</v>
      </c>
      <c r="D60" s="12">
        <v>0</v>
      </c>
      <c r="E60" s="12">
        <v>240249.60000000001</v>
      </c>
      <c r="F60" s="12">
        <v>240249.60000000001</v>
      </c>
      <c r="G60" s="12">
        <f t="shared" si="0"/>
        <v>0</v>
      </c>
      <c r="H60" s="12">
        <f t="shared" si="1"/>
        <v>0</v>
      </c>
      <c r="I60" s="8" t="s">
        <v>119</v>
      </c>
    </row>
    <row r="61" spans="2:9" x14ac:dyDescent="0.3">
      <c r="B61" s="8" t="s">
        <v>122</v>
      </c>
      <c r="C61" s="8" t="s">
        <v>123</v>
      </c>
      <c r="D61" s="12">
        <v>-8133.72</v>
      </c>
      <c r="E61" s="12">
        <v>0</v>
      </c>
      <c r="F61" s="12">
        <v>133367.15</v>
      </c>
      <c r="G61" s="12">
        <f t="shared" si="0"/>
        <v>-133367.15</v>
      </c>
      <c r="H61" s="12">
        <f t="shared" si="1"/>
        <v>-141500.87</v>
      </c>
      <c r="I61" s="8" t="s">
        <v>119</v>
      </c>
    </row>
    <row r="62" spans="2:9" x14ac:dyDescent="0.3">
      <c r="B62" s="8" t="s">
        <v>124</v>
      </c>
      <c r="C62" s="8" t="s">
        <v>125</v>
      </c>
      <c r="D62" s="12">
        <v>37956.79</v>
      </c>
      <c r="E62" s="12">
        <v>1713.48</v>
      </c>
      <c r="F62" s="12">
        <v>37956.79</v>
      </c>
      <c r="G62" s="12">
        <f t="shared" si="0"/>
        <v>-36243.31</v>
      </c>
      <c r="H62" s="12">
        <f t="shared" si="1"/>
        <v>1713.4800000000032</v>
      </c>
      <c r="I62" s="8" t="s">
        <v>119</v>
      </c>
    </row>
    <row r="63" spans="2:9" x14ac:dyDescent="0.3">
      <c r="B63" s="15" t="s">
        <v>126</v>
      </c>
      <c r="C63" s="15" t="s">
        <v>127</v>
      </c>
      <c r="D63" s="16"/>
      <c r="E63" s="16"/>
      <c r="F63" s="16"/>
      <c r="G63" s="16"/>
      <c r="H63" s="16"/>
      <c r="I63" s="15"/>
    </row>
    <row r="64" spans="2:9" x14ac:dyDescent="0.3">
      <c r="B64" s="8" t="s">
        <v>128</v>
      </c>
      <c r="C64" s="8" t="s">
        <v>129</v>
      </c>
      <c r="D64" s="12">
        <v>0</v>
      </c>
      <c r="E64" s="12">
        <v>0</v>
      </c>
      <c r="F64" s="12">
        <v>12546</v>
      </c>
      <c r="G64" s="12">
        <f t="shared" si="0"/>
        <v>-12546</v>
      </c>
      <c r="H64" s="12">
        <f t="shared" si="1"/>
        <v>-12546</v>
      </c>
      <c r="I64" s="8" t="s">
        <v>130</v>
      </c>
    </row>
    <row r="65" spans="2:9" x14ac:dyDescent="0.3">
      <c r="B65" s="8" t="s">
        <v>131</v>
      </c>
      <c r="C65" s="8" t="s">
        <v>132</v>
      </c>
      <c r="D65" s="12">
        <v>0</v>
      </c>
      <c r="E65" s="12">
        <v>186025.46</v>
      </c>
      <c r="F65" s="12">
        <v>0</v>
      </c>
      <c r="G65" s="12">
        <f t="shared" si="0"/>
        <v>186025.46</v>
      </c>
      <c r="H65" s="12">
        <f t="shared" si="1"/>
        <v>186025.46</v>
      </c>
      <c r="I65" s="8" t="s">
        <v>130</v>
      </c>
    </row>
    <row r="66" spans="2:9" x14ac:dyDescent="0.3">
      <c r="B66" s="8" t="s">
        <v>133</v>
      </c>
      <c r="C66" s="8" t="s">
        <v>134</v>
      </c>
      <c r="D66" s="12">
        <v>0</v>
      </c>
      <c r="E66" s="12">
        <v>0</v>
      </c>
      <c r="F66" s="12">
        <v>15502.11</v>
      </c>
      <c r="G66" s="12">
        <f t="shared" si="0"/>
        <v>-15502.11</v>
      </c>
      <c r="H66" s="12">
        <f t="shared" si="1"/>
        <v>-15502.11</v>
      </c>
      <c r="I66" s="8" t="s">
        <v>130</v>
      </c>
    </row>
    <row r="67" spans="2:9" x14ac:dyDescent="0.3">
      <c r="B67" s="8" t="s">
        <v>135</v>
      </c>
      <c r="C67" s="8" t="s">
        <v>136</v>
      </c>
      <c r="D67" s="12">
        <v>0</v>
      </c>
      <c r="E67" s="12">
        <v>0</v>
      </c>
      <c r="F67" s="12">
        <v>2700.46</v>
      </c>
      <c r="G67" s="12">
        <f t="shared" si="0"/>
        <v>-2700.46</v>
      </c>
      <c r="H67" s="12">
        <f t="shared" si="1"/>
        <v>-2700.46</v>
      </c>
      <c r="I67" s="8" t="s">
        <v>130</v>
      </c>
    </row>
    <row r="68" spans="2:9" x14ac:dyDescent="0.3">
      <c r="B68" s="15" t="s">
        <v>137</v>
      </c>
      <c r="C68" s="15" t="s">
        <v>138</v>
      </c>
      <c r="D68" s="16"/>
      <c r="E68" s="16"/>
      <c r="F68" s="16"/>
      <c r="G68" s="16"/>
      <c r="H68" s="16"/>
      <c r="I68" s="15"/>
    </row>
    <row r="69" spans="2:9" x14ac:dyDescent="0.3">
      <c r="B69" s="8" t="s">
        <v>139</v>
      </c>
      <c r="C69" s="8" t="s">
        <v>140</v>
      </c>
      <c r="D69" s="12">
        <v>0</v>
      </c>
      <c r="E69" s="12">
        <v>200</v>
      </c>
      <c r="F69" s="12">
        <v>200</v>
      </c>
      <c r="G69" s="12">
        <f t="shared" si="0"/>
        <v>0</v>
      </c>
      <c r="H69" s="12">
        <f t="shared" si="1"/>
        <v>0</v>
      </c>
      <c r="I69" s="8" t="s">
        <v>141</v>
      </c>
    </row>
    <row r="70" spans="2:9" x14ac:dyDescent="0.3">
      <c r="B70" s="8" t="s">
        <v>142</v>
      </c>
      <c r="C70" s="8" t="s">
        <v>143</v>
      </c>
      <c r="D70" s="12">
        <v>0</v>
      </c>
      <c r="E70" s="12">
        <v>6200</v>
      </c>
      <c r="F70" s="12">
        <v>0</v>
      </c>
      <c r="G70" s="12">
        <f t="shared" si="0"/>
        <v>6200</v>
      </c>
      <c r="H70" s="12">
        <f t="shared" si="1"/>
        <v>6200</v>
      </c>
      <c r="I70" s="8" t="s">
        <v>141</v>
      </c>
    </row>
    <row r="71" spans="2:9" x14ac:dyDescent="0.3">
      <c r="B71" s="8" t="s">
        <v>144</v>
      </c>
      <c r="C71" s="8" t="s">
        <v>145</v>
      </c>
      <c r="D71" s="12">
        <v>0</v>
      </c>
      <c r="E71" s="12">
        <v>300</v>
      </c>
      <c r="F71" s="12">
        <v>0</v>
      </c>
      <c r="G71" s="12">
        <f t="shared" si="0"/>
        <v>300</v>
      </c>
      <c r="H71" s="12">
        <f t="shared" si="1"/>
        <v>300</v>
      </c>
      <c r="I71" s="8" t="s">
        <v>141</v>
      </c>
    </row>
    <row r="72" spans="2:9" x14ac:dyDescent="0.3">
      <c r="B72" s="8" t="s">
        <v>146</v>
      </c>
      <c r="C72" s="8" t="s">
        <v>147</v>
      </c>
      <c r="D72" s="12">
        <v>0</v>
      </c>
      <c r="E72" s="12">
        <v>300</v>
      </c>
      <c r="F72" s="12">
        <v>0</v>
      </c>
      <c r="G72" s="12">
        <f t="shared" si="0"/>
        <v>300</v>
      </c>
      <c r="H72" s="12">
        <f t="shared" si="1"/>
        <v>300</v>
      </c>
      <c r="I72" s="8" t="s">
        <v>141</v>
      </c>
    </row>
    <row r="73" spans="2:9" x14ac:dyDescent="0.3">
      <c r="B73" s="8" t="s">
        <v>148</v>
      </c>
      <c r="C73" s="8" t="s">
        <v>149</v>
      </c>
      <c r="D73" s="12">
        <v>0</v>
      </c>
      <c r="E73" s="12">
        <v>300</v>
      </c>
      <c r="F73" s="12">
        <v>0</v>
      </c>
      <c r="G73" s="12">
        <f t="shared" si="0"/>
        <v>300</v>
      </c>
      <c r="H73" s="12">
        <f t="shared" si="1"/>
        <v>300</v>
      </c>
      <c r="I73" s="8" t="s">
        <v>141</v>
      </c>
    </row>
    <row r="74" spans="2:9" x14ac:dyDescent="0.3">
      <c r="B74" s="8" t="s">
        <v>150</v>
      </c>
      <c r="C74" s="8" t="s">
        <v>151</v>
      </c>
      <c r="D74" s="12">
        <v>0</v>
      </c>
      <c r="E74" s="12">
        <v>300</v>
      </c>
      <c r="F74" s="12">
        <v>0</v>
      </c>
      <c r="G74" s="12">
        <f t="shared" ref="G74:G137" si="2">E74-F74</f>
        <v>300</v>
      </c>
      <c r="H74" s="12">
        <f t="shared" ref="H74:H137" si="3">D74+G74</f>
        <v>300</v>
      </c>
      <c r="I74" s="8" t="s">
        <v>141</v>
      </c>
    </row>
    <row r="75" spans="2:9" x14ac:dyDescent="0.3">
      <c r="B75" s="8" t="s">
        <v>152</v>
      </c>
      <c r="C75" s="8" t="s">
        <v>153</v>
      </c>
      <c r="D75" s="12">
        <v>0</v>
      </c>
      <c r="E75" s="12">
        <v>300</v>
      </c>
      <c r="F75" s="12">
        <v>0</v>
      </c>
      <c r="G75" s="12">
        <f t="shared" si="2"/>
        <v>300</v>
      </c>
      <c r="H75" s="12">
        <f t="shared" si="3"/>
        <v>300</v>
      </c>
      <c r="I75" s="8" t="s">
        <v>141</v>
      </c>
    </row>
    <row r="76" spans="2:9" x14ac:dyDescent="0.3">
      <c r="B76" s="15" t="s">
        <v>154</v>
      </c>
      <c r="C76" s="15" t="s">
        <v>155</v>
      </c>
      <c r="D76" s="16"/>
      <c r="E76" s="16"/>
      <c r="F76" s="16"/>
      <c r="G76" s="16"/>
      <c r="H76" s="16"/>
      <c r="I76" s="15"/>
    </row>
    <row r="77" spans="2:9" x14ac:dyDescent="0.3">
      <c r="B77" s="8" t="s">
        <v>156</v>
      </c>
      <c r="C77" s="8" t="s">
        <v>157</v>
      </c>
      <c r="D77" s="12">
        <v>0</v>
      </c>
      <c r="E77" s="12">
        <v>51800</v>
      </c>
      <c r="F77" s="12">
        <v>43843.75</v>
      </c>
      <c r="G77" s="12">
        <f t="shared" si="2"/>
        <v>7956.25</v>
      </c>
      <c r="H77" s="12">
        <f t="shared" si="3"/>
        <v>7956.25</v>
      </c>
      <c r="I77" s="8" t="s">
        <v>158</v>
      </c>
    </row>
    <row r="78" spans="2:9" x14ac:dyDescent="0.3">
      <c r="B78" s="15" t="s">
        <v>159</v>
      </c>
      <c r="C78" s="15" t="s">
        <v>160</v>
      </c>
      <c r="D78" s="16"/>
      <c r="E78" s="16"/>
      <c r="F78" s="16"/>
      <c r="G78" s="16"/>
      <c r="H78" s="16"/>
      <c r="I78" s="15"/>
    </row>
    <row r="79" spans="2:9" x14ac:dyDescent="0.3">
      <c r="B79" s="8" t="s">
        <v>161</v>
      </c>
      <c r="C79" s="8" t="s">
        <v>162</v>
      </c>
      <c r="D79" s="12">
        <v>534075.65</v>
      </c>
      <c r="E79" s="12">
        <v>709064.66</v>
      </c>
      <c r="F79" s="12">
        <v>773048.92</v>
      </c>
      <c r="G79" s="12">
        <f t="shared" si="2"/>
        <v>-63984.260000000009</v>
      </c>
      <c r="H79" s="12">
        <f t="shared" si="3"/>
        <v>470091.39</v>
      </c>
      <c r="I79" s="8" t="s">
        <v>163</v>
      </c>
    </row>
    <row r="80" spans="2:9" x14ac:dyDescent="0.3">
      <c r="B80" s="8" t="s">
        <v>164</v>
      </c>
      <c r="C80" s="8" t="s">
        <v>165</v>
      </c>
      <c r="D80" s="12">
        <v>0</v>
      </c>
      <c r="E80" s="12">
        <v>728162.44</v>
      </c>
      <c r="F80" s="12">
        <v>1152499.8400000001</v>
      </c>
      <c r="G80" s="12">
        <f t="shared" si="2"/>
        <v>-424337.40000000014</v>
      </c>
      <c r="H80" s="12">
        <f t="shared" si="3"/>
        <v>-424337.40000000014</v>
      </c>
      <c r="I80" s="8" t="s">
        <v>163</v>
      </c>
    </row>
    <row r="81" spans="2:9" x14ac:dyDescent="0.3">
      <c r="B81" s="8" t="s">
        <v>166</v>
      </c>
      <c r="C81" s="8" t="s">
        <v>167</v>
      </c>
      <c r="D81" s="12">
        <v>0</v>
      </c>
      <c r="E81" s="12">
        <v>728162.44</v>
      </c>
      <c r="F81" s="12">
        <v>728162.44</v>
      </c>
      <c r="G81" s="12">
        <f t="shared" si="2"/>
        <v>0</v>
      </c>
      <c r="H81" s="12">
        <f t="shared" si="3"/>
        <v>0</v>
      </c>
      <c r="I81" s="8" t="s">
        <v>163</v>
      </c>
    </row>
    <row r="82" spans="2:9" x14ac:dyDescent="0.3">
      <c r="B82" s="15" t="s">
        <v>168</v>
      </c>
      <c r="C82" s="15" t="s">
        <v>169</v>
      </c>
      <c r="D82" s="16"/>
      <c r="E82" s="16"/>
      <c r="F82" s="16"/>
      <c r="G82" s="16"/>
      <c r="H82" s="16"/>
      <c r="I82" s="15"/>
    </row>
    <row r="83" spans="2:9" x14ac:dyDescent="0.3">
      <c r="B83" s="8" t="s">
        <v>170</v>
      </c>
      <c r="C83" s="8" t="s">
        <v>171</v>
      </c>
      <c r="D83" s="12">
        <v>0</v>
      </c>
      <c r="E83" s="12">
        <v>0</v>
      </c>
      <c r="F83" s="12">
        <v>11021.32</v>
      </c>
      <c r="G83" s="12">
        <f t="shared" si="2"/>
        <v>-11021.32</v>
      </c>
      <c r="H83" s="12">
        <f t="shared" si="3"/>
        <v>-11021.32</v>
      </c>
      <c r="I83" s="8" t="s">
        <v>172</v>
      </c>
    </row>
    <row r="84" spans="2:9" x14ac:dyDescent="0.3">
      <c r="B84" s="8" t="s">
        <v>173</v>
      </c>
      <c r="C84" s="8" t="s">
        <v>174</v>
      </c>
      <c r="D84" s="12">
        <v>0</v>
      </c>
      <c r="E84" s="12">
        <v>0</v>
      </c>
      <c r="F84" s="12">
        <v>856.77</v>
      </c>
      <c r="G84" s="12">
        <f t="shared" si="2"/>
        <v>-856.77</v>
      </c>
      <c r="H84" s="12">
        <f t="shared" si="3"/>
        <v>-856.77</v>
      </c>
      <c r="I84" s="8" t="s">
        <v>172</v>
      </c>
    </row>
    <row r="85" spans="2:9" x14ac:dyDescent="0.3">
      <c r="B85" s="8" t="s">
        <v>175</v>
      </c>
      <c r="C85" s="8" t="s">
        <v>176</v>
      </c>
      <c r="D85" s="12">
        <v>0</v>
      </c>
      <c r="E85" s="12">
        <v>0</v>
      </c>
      <c r="F85" s="12">
        <v>55.44</v>
      </c>
      <c r="G85" s="12">
        <f t="shared" si="2"/>
        <v>-55.44</v>
      </c>
      <c r="H85" s="12">
        <f t="shared" si="3"/>
        <v>-55.44</v>
      </c>
      <c r="I85" s="8" t="s">
        <v>172</v>
      </c>
    </row>
    <row r="86" spans="2:9" x14ac:dyDescent="0.3">
      <c r="B86" s="8" t="s">
        <v>177</v>
      </c>
      <c r="C86" s="8" t="s">
        <v>178</v>
      </c>
      <c r="D86" s="12">
        <v>0</v>
      </c>
      <c r="E86" s="12">
        <v>0</v>
      </c>
      <c r="F86" s="12">
        <v>84.56</v>
      </c>
      <c r="G86" s="12">
        <f t="shared" si="2"/>
        <v>-84.56</v>
      </c>
      <c r="H86" s="12">
        <f t="shared" si="3"/>
        <v>-84.56</v>
      </c>
      <c r="I86" s="8" t="s">
        <v>172</v>
      </c>
    </row>
    <row r="87" spans="2:9" x14ac:dyDescent="0.3">
      <c r="B87" s="8" t="s">
        <v>179</v>
      </c>
      <c r="C87" s="8" t="s">
        <v>180</v>
      </c>
      <c r="D87" s="12">
        <v>0</v>
      </c>
      <c r="E87" s="12">
        <v>0</v>
      </c>
      <c r="F87" s="12">
        <v>4730.68</v>
      </c>
      <c r="G87" s="12">
        <f t="shared" si="2"/>
        <v>-4730.68</v>
      </c>
      <c r="H87" s="12">
        <f t="shared" si="3"/>
        <v>-4730.68</v>
      </c>
      <c r="I87" s="8" t="s">
        <v>172</v>
      </c>
    </row>
    <row r="88" spans="2:9" x14ac:dyDescent="0.3">
      <c r="B88" s="8" t="s">
        <v>181</v>
      </c>
      <c r="C88" s="8" t="s">
        <v>182</v>
      </c>
      <c r="D88" s="12">
        <v>0</v>
      </c>
      <c r="E88" s="12">
        <v>0</v>
      </c>
      <c r="F88" s="12">
        <v>474.89</v>
      </c>
      <c r="G88" s="12">
        <f t="shared" si="2"/>
        <v>-474.89</v>
      </c>
      <c r="H88" s="12">
        <f t="shared" si="3"/>
        <v>-474.89</v>
      </c>
      <c r="I88" s="8" t="s">
        <v>172</v>
      </c>
    </row>
    <row r="89" spans="2:9" x14ac:dyDescent="0.3">
      <c r="B89" s="8" t="s">
        <v>183</v>
      </c>
      <c r="C89" s="8" t="s">
        <v>184</v>
      </c>
      <c r="D89" s="12">
        <v>0</v>
      </c>
      <c r="E89" s="12">
        <v>0</v>
      </c>
      <c r="F89" s="12">
        <v>54.55</v>
      </c>
      <c r="G89" s="12">
        <f t="shared" si="2"/>
        <v>-54.55</v>
      </c>
      <c r="H89" s="12">
        <f t="shared" si="3"/>
        <v>-54.55</v>
      </c>
      <c r="I89" s="8" t="s">
        <v>172</v>
      </c>
    </row>
    <row r="90" spans="2:9" x14ac:dyDescent="0.3">
      <c r="B90" s="15" t="s">
        <v>185</v>
      </c>
      <c r="C90" s="15" t="s">
        <v>186</v>
      </c>
      <c r="D90" s="16"/>
      <c r="E90" s="16"/>
      <c r="F90" s="16"/>
      <c r="G90" s="16"/>
      <c r="H90" s="16"/>
      <c r="I90" s="15"/>
    </row>
    <row r="91" spans="2:9" x14ac:dyDescent="0.3">
      <c r="B91" s="8" t="s">
        <v>187</v>
      </c>
      <c r="C91" s="8" t="s">
        <v>188</v>
      </c>
      <c r="D91" s="12">
        <v>0</v>
      </c>
      <c r="E91" s="12">
        <v>58805.25</v>
      </c>
      <c r="F91" s="12">
        <v>32930.25</v>
      </c>
      <c r="G91" s="12">
        <f t="shared" si="2"/>
        <v>25875</v>
      </c>
      <c r="H91" s="12">
        <f t="shared" si="3"/>
        <v>25875</v>
      </c>
      <c r="I91" s="8" t="s">
        <v>189</v>
      </c>
    </row>
    <row r="92" spans="2:9" x14ac:dyDescent="0.3">
      <c r="B92" s="8" t="s">
        <v>190</v>
      </c>
      <c r="C92" s="8" t="s">
        <v>191</v>
      </c>
      <c r="D92" s="12">
        <v>0</v>
      </c>
      <c r="E92" s="12">
        <v>0</v>
      </c>
      <c r="F92" s="12">
        <v>12038.2</v>
      </c>
      <c r="G92" s="12">
        <f t="shared" si="2"/>
        <v>-12038.2</v>
      </c>
      <c r="H92" s="12">
        <f t="shared" si="3"/>
        <v>-12038.2</v>
      </c>
      <c r="I92" s="8" t="s">
        <v>189</v>
      </c>
    </row>
    <row r="93" spans="2:9" x14ac:dyDescent="0.3">
      <c r="B93" s="8" t="s">
        <v>192</v>
      </c>
      <c r="C93" s="8" t="s">
        <v>193</v>
      </c>
      <c r="D93" s="12">
        <v>0</v>
      </c>
      <c r="E93" s="12">
        <v>20000</v>
      </c>
      <c r="F93" s="12">
        <v>58425.48</v>
      </c>
      <c r="G93" s="12">
        <f t="shared" si="2"/>
        <v>-38425.480000000003</v>
      </c>
      <c r="H93" s="12">
        <f t="shared" si="3"/>
        <v>-38425.480000000003</v>
      </c>
      <c r="I93" s="8" t="s">
        <v>189</v>
      </c>
    </row>
    <row r="94" spans="2:9" x14ac:dyDescent="0.3">
      <c r="B94" s="8" t="s">
        <v>194</v>
      </c>
      <c r="C94" s="8" t="s">
        <v>195</v>
      </c>
      <c r="D94" s="12">
        <v>0</v>
      </c>
      <c r="E94" s="12">
        <v>130462</v>
      </c>
      <c r="F94" s="12">
        <v>130462</v>
      </c>
      <c r="G94" s="12">
        <f t="shared" si="2"/>
        <v>0</v>
      </c>
      <c r="H94" s="12">
        <f t="shared" si="3"/>
        <v>0</v>
      </c>
      <c r="I94" s="8" t="s">
        <v>189</v>
      </c>
    </row>
    <row r="95" spans="2:9" x14ac:dyDescent="0.3">
      <c r="B95" s="8" t="s">
        <v>196</v>
      </c>
      <c r="C95" s="8" t="s">
        <v>197</v>
      </c>
      <c r="D95" s="12">
        <v>-534075.65</v>
      </c>
      <c r="E95" s="12">
        <v>0</v>
      </c>
      <c r="F95" s="12">
        <v>0</v>
      </c>
      <c r="G95" s="12">
        <f t="shared" si="2"/>
        <v>0</v>
      </c>
      <c r="H95" s="12">
        <f t="shared" si="3"/>
        <v>-534075.65</v>
      </c>
      <c r="I95" s="8" t="s">
        <v>189</v>
      </c>
    </row>
    <row r="96" spans="2:9" x14ac:dyDescent="0.3">
      <c r="B96" s="8" t="s">
        <v>198</v>
      </c>
      <c r="C96" s="8" t="s">
        <v>199</v>
      </c>
      <c r="D96" s="12">
        <v>0</v>
      </c>
      <c r="E96" s="12">
        <v>5025.75</v>
      </c>
      <c r="F96" s="12">
        <v>5025.5</v>
      </c>
      <c r="G96" s="12">
        <f t="shared" si="2"/>
        <v>0.25</v>
      </c>
      <c r="H96" s="12">
        <f t="shared" si="3"/>
        <v>0.25</v>
      </c>
      <c r="I96" s="8" t="s">
        <v>189</v>
      </c>
    </row>
    <row r="97" spans="2:9" x14ac:dyDescent="0.3">
      <c r="B97" s="8" t="s">
        <v>200</v>
      </c>
      <c r="C97" s="8" t="s">
        <v>201</v>
      </c>
      <c r="D97" s="12">
        <v>0</v>
      </c>
      <c r="E97" s="12">
        <v>0</v>
      </c>
      <c r="F97" s="12">
        <v>3082</v>
      </c>
      <c r="G97" s="12">
        <f t="shared" si="2"/>
        <v>-3082</v>
      </c>
      <c r="H97" s="12">
        <f t="shared" si="3"/>
        <v>-3082</v>
      </c>
      <c r="I97" s="8" t="s">
        <v>189</v>
      </c>
    </row>
    <row r="98" spans="2:9" x14ac:dyDescent="0.3">
      <c r="B98" s="8" t="s">
        <v>202</v>
      </c>
      <c r="C98" s="8" t="s">
        <v>203</v>
      </c>
      <c r="D98" s="12">
        <v>0</v>
      </c>
      <c r="E98" s="12">
        <v>10000</v>
      </c>
      <c r="F98" s="12">
        <v>0</v>
      </c>
      <c r="G98" s="12">
        <f t="shared" si="2"/>
        <v>10000</v>
      </c>
      <c r="H98" s="12">
        <f t="shared" si="3"/>
        <v>10000</v>
      </c>
      <c r="I98" s="8" t="s">
        <v>189</v>
      </c>
    </row>
    <row r="99" spans="2:9" x14ac:dyDescent="0.3">
      <c r="B99" s="8" t="s">
        <v>204</v>
      </c>
      <c r="C99" s="8" t="s">
        <v>205</v>
      </c>
      <c r="D99" s="12">
        <v>0</v>
      </c>
      <c r="E99" s="12">
        <v>20027.34</v>
      </c>
      <c r="F99" s="12">
        <v>20027.34</v>
      </c>
      <c r="G99" s="12">
        <f t="shared" si="2"/>
        <v>0</v>
      </c>
      <c r="H99" s="12">
        <f t="shared" si="3"/>
        <v>0</v>
      </c>
      <c r="I99" s="8" t="s">
        <v>189</v>
      </c>
    </row>
    <row r="100" spans="2:9" x14ac:dyDescent="0.3">
      <c r="B100" s="8" t="s">
        <v>206</v>
      </c>
      <c r="C100" s="8" t="s">
        <v>207</v>
      </c>
      <c r="D100" s="12">
        <v>0</v>
      </c>
      <c r="E100" s="12">
        <v>3568.45</v>
      </c>
      <c r="F100" s="12">
        <v>3568.45</v>
      </c>
      <c r="G100" s="12">
        <f t="shared" si="2"/>
        <v>0</v>
      </c>
      <c r="H100" s="12">
        <f t="shared" si="3"/>
        <v>0</v>
      </c>
      <c r="I100" s="8" t="s">
        <v>189</v>
      </c>
    </row>
    <row r="101" spans="2:9" x14ac:dyDescent="0.3">
      <c r="B101" s="8" t="s">
        <v>208</v>
      </c>
      <c r="C101" s="8" t="s">
        <v>209</v>
      </c>
      <c r="D101" s="12">
        <v>0</v>
      </c>
      <c r="E101" s="12">
        <v>289704.01</v>
      </c>
      <c r="F101" s="12">
        <v>696091.17</v>
      </c>
      <c r="G101" s="12">
        <f t="shared" si="2"/>
        <v>-406387.16000000003</v>
      </c>
      <c r="H101" s="12">
        <f t="shared" si="3"/>
        <v>-406387.16000000003</v>
      </c>
      <c r="I101" s="8" t="s">
        <v>189</v>
      </c>
    </row>
    <row r="102" spans="2:9" x14ac:dyDescent="0.3">
      <c r="B102" s="8" t="s">
        <v>210</v>
      </c>
      <c r="C102" s="8" t="s">
        <v>211</v>
      </c>
      <c r="D102" s="12">
        <v>0</v>
      </c>
      <c r="E102" s="12">
        <v>1886</v>
      </c>
      <c r="F102" s="12">
        <v>1886</v>
      </c>
      <c r="G102" s="12">
        <f t="shared" si="2"/>
        <v>0</v>
      </c>
      <c r="H102" s="12">
        <f t="shared" si="3"/>
        <v>0</v>
      </c>
      <c r="I102" s="8" t="s">
        <v>189</v>
      </c>
    </row>
    <row r="103" spans="2:9" x14ac:dyDescent="0.3">
      <c r="B103" s="8" t="s">
        <v>212</v>
      </c>
      <c r="C103" s="8" t="s">
        <v>213</v>
      </c>
      <c r="D103" s="12">
        <v>0</v>
      </c>
      <c r="E103" s="12">
        <v>0</v>
      </c>
      <c r="F103" s="12">
        <v>254055.93</v>
      </c>
      <c r="G103" s="12">
        <f t="shared" si="2"/>
        <v>-254055.93</v>
      </c>
      <c r="H103" s="12">
        <f t="shared" si="3"/>
        <v>-254055.93</v>
      </c>
      <c r="I103" s="8" t="s">
        <v>189</v>
      </c>
    </row>
    <row r="104" spans="2:9" x14ac:dyDescent="0.3">
      <c r="B104" s="8" t="s">
        <v>214</v>
      </c>
      <c r="C104" s="8" t="s">
        <v>215</v>
      </c>
      <c r="D104" s="12">
        <v>0</v>
      </c>
      <c r="E104" s="12">
        <v>220918.2</v>
      </c>
      <c r="F104" s="12">
        <v>0</v>
      </c>
      <c r="G104" s="12">
        <f t="shared" si="2"/>
        <v>220918.2</v>
      </c>
      <c r="H104" s="12">
        <f t="shared" si="3"/>
        <v>220918.2</v>
      </c>
      <c r="I104" s="8" t="s">
        <v>189</v>
      </c>
    </row>
    <row r="105" spans="2:9" x14ac:dyDescent="0.3">
      <c r="B105" s="15" t="s">
        <v>216</v>
      </c>
      <c r="C105" s="15" t="s">
        <v>217</v>
      </c>
      <c r="D105" s="16"/>
      <c r="E105" s="16"/>
      <c r="F105" s="16"/>
      <c r="G105" s="16"/>
      <c r="H105" s="16"/>
      <c r="I105" s="15"/>
    </row>
    <row r="106" spans="2:9" x14ac:dyDescent="0.3">
      <c r="B106" s="8" t="s">
        <v>218</v>
      </c>
      <c r="C106" s="8" t="s">
        <v>219</v>
      </c>
      <c r="D106" s="12">
        <v>0</v>
      </c>
      <c r="E106" s="12">
        <v>0</v>
      </c>
      <c r="F106" s="12">
        <v>101671</v>
      </c>
      <c r="G106" s="12">
        <f t="shared" si="2"/>
        <v>-101671</v>
      </c>
      <c r="H106" s="12">
        <f t="shared" si="3"/>
        <v>-101671</v>
      </c>
      <c r="I106" s="8" t="s">
        <v>220</v>
      </c>
    </row>
    <row r="107" spans="2:9" x14ac:dyDescent="0.3">
      <c r="B107" s="15" t="s">
        <v>221</v>
      </c>
      <c r="C107" s="15" t="s">
        <v>222</v>
      </c>
      <c r="D107" s="16"/>
      <c r="E107" s="16"/>
      <c r="F107" s="16"/>
      <c r="G107" s="16"/>
      <c r="H107" s="16"/>
      <c r="I107" s="15"/>
    </row>
    <row r="108" spans="2:9" x14ac:dyDescent="0.3">
      <c r="B108" s="8" t="s">
        <v>223</v>
      </c>
      <c r="C108" s="8" t="s">
        <v>224</v>
      </c>
      <c r="D108" s="12">
        <v>0</v>
      </c>
      <c r="E108" s="12">
        <v>10127.36</v>
      </c>
      <c r="F108" s="12">
        <v>0</v>
      </c>
      <c r="G108" s="12">
        <f t="shared" si="2"/>
        <v>10127.36</v>
      </c>
      <c r="H108" s="12">
        <f t="shared" si="3"/>
        <v>10127.36</v>
      </c>
      <c r="I108" s="8" t="s">
        <v>225</v>
      </c>
    </row>
    <row r="109" spans="2:9" x14ac:dyDescent="0.3">
      <c r="B109" s="15" t="s">
        <v>226</v>
      </c>
      <c r="C109" s="15" t="s">
        <v>227</v>
      </c>
      <c r="D109" s="16"/>
      <c r="E109" s="16"/>
      <c r="F109" s="16"/>
      <c r="G109" s="16"/>
      <c r="H109" s="16"/>
      <c r="I109" s="15"/>
    </row>
    <row r="110" spans="2:9" x14ac:dyDescent="0.3">
      <c r="B110" s="8" t="s">
        <v>228</v>
      </c>
      <c r="C110" s="8" t="s">
        <v>229</v>
      </c>
      <c r="D110" s="12">
        <v>0</v>
      </c>
      <c r="E110" s="12">
        <v>0</v>
      </c>
      <c r="F110" s="12">
        <v>186025.46</v>
      </c>
      <c r="G110" s="12">
        <f t="shared" si="2"/>
        <v>-186025.46</v>
      </c>
      <c r="H110" s="12">
        <f t="shared" si="3"/>
        <v>-186025.46</v>
      </c>
      <c r="I110" s="8" t="s">
        <v>230</v>
      </c>
    </row>
    <row r="111" spans="2:9" x14ac:dyDescent="0.3">
      <c r="B111" s="8" t="s">
        <v>231</v>
      </c>
      <c r="C111" s="8" t="s">
        <v>232</v>
      </c>
      <c r="D111" s="12">
        <v>0</v>
      </c>
      <c r="E111" s="12">
        <v>941769.3</v>
      </c>
      <c r="F111" s="12">
        <v>906647.63</v>
      </c>
      <c r="G111" s="12">
        <f t="shared" si="2"/>
        <v>35121.670000000042</v>
      </c>
      <c r="H111" s="12">
        <f t="shared" si="3"/>
        <v>35121.670000000042</v>
      </c>
      <c r="I111" s="8" t="s">
        <v>230</v>
      </c>
    </row>
    <row r="112" spans="2:9" x14ac:dyDescent="0.3">
      <c r="B112" s="8" t="s">
        <v>233</v>
      </c>
      <c r="C112" s="8" t="s">
        <v>234</v>
      </c>
      <c r="D112" s="12">
        <v>0</v>
      </c>
      <c r="E112" s="12">
        <v>1075.25</v>
      </c>
      <c r="F112" s="12">
        <v>0</v>
      </c>
      <c r="G112" s="12">
        <f t="shared" si="2"/>
        <v>1075.25</v>
      </c>
      <c r="H112" s="12">
        <f t="shared" si="3"/>
        <v>1075.25</v>
      </c>
      <c r="I112" s="8" t="s">
        <v>230</v>
      </c>
    </row>
    <row r="113" spans="2:9" x14ac:dyDescent="0.3">
      <c r="B113" s="8" t="s">
        <v>235</v>
      </c>
      <c r="C113" s="8" t="s">
        <v>236</v>
      </c>
      <c r="D113" s="12">
        <v>0</v>
      </c>
      <c r="E113" s="12">
        <v>1063878.83</v>
      </c>
      <c r="F113" s="12">
        <v>344557.5</v>
      </c>
      <c r="G113" s="12">
        <f t="shared" si="2"/>
        <v>719321.33000000007</v>
      </c>
      <c r="H113" s="12">
        <f t="shared" si="3"/>
        <v>719321.33000000007</v>
      </c>
      <c r="I113" s="8" t="s">
        <v>230</v>
      </c>
    </row>
    <row r="114" spans="2:9" x14ac:dyDescent="0.3">
      <c r="B114" s="8" t="s">
        <v>237</v>
      </c>
      <c r="C114" s="8" t="s">
        <v>238</v>
      </c>
      <c r="D114" s="12">
        <v>0</v>
      </c>
      <c r="E114" s="12">
        <v>0</v>
      </c>
      <c r="F114" s="12">
        <v>476905</v>
      </c>
      <c r="G114" s="12">
        <f t="shared" si="2"/>
        <v>-476905</v>
      </c>
      <c r="H114" s="12">
        <f t="shared" si="3"/>
        <v>-476905</v>
      </c>
      <c r="I114" s="8" t="s">
        <v>230</v>
      </c>
    </row>
    <row r="115" spans="2:9" x14ac:dyDescent="0.3">
      <c r="B115" s="15" t="s">
        <v>239</v>
      </c>
      <c r="C115" s="15" t="s">
        <v>240</v>
      </c>
      <c r="D115" s="16"/>
      <c r="E115" s="16"/>
      <c r="F115" s="16"/>
      <c r="G115" s="16"/>
      <c r="H115" s="16"/>
      <c r="I115" s="15"/>
    </row>
    <row r="116" spans="2:9" x14ac:dyDescent="0.3">
      <c r="B116" s="8" t="s">
        <v>241</v>
      </c>
      <c r="C116" s="8" t="s">
        <v>242</v>
      </c>
      <c r="D116" s="12">
        <v>0</v>
      </c>
      <c r="E116" s="12">
        <v>0</v>
      </c>
      <c r="F116" s="12">
        <v>10615.82</v>
      </c>
      <c r="G116" s="12">
        <f t="shared" si="2"/>
        <v>-10615.82</v>
      </c>
      <c r="H116" s="12">
        <f t="shared" si="3"/>
        <v>-10615.82</v>
      </c>
      <c r="I116" s="8" t="s">
        <v>243</v>
      </c>
    </row>
    <row r="117" spans="2:9" x14ac:dyDescent="0.3">
      <c r="B117" s="15" t="s">
        <v>244</v>
      </c>
      <c r="C117" s="15" t="s">
        <v>245</v>
      </c>
      <c r="D117" s="16"/>
      <c r="E117" s="16"/>
      <c r="F117" s="16"/>
      <c r="G117" s="16"/>
      <c r="H117" s="16"/>
      <c r="I117" s="15"/>
    </row>
    <row r="118" spans="2:9" x14ac:dyDescent="0.3">
      <c r="B118" s="8" t="s">
        <v>246</v>
      </c>
      <c r="C118" s="8" t="s">
        <v>247</v>
      </c>
      <c r="D118" s="12">
        <v>0</v>
      </c>
      <c r="E118" s="12">
        <v>0</v>
      </c>
      <c r="F118" s="12">
        <v>26306.240000000002</v>
      </c>
      <c r="G118" s="12">
        <f t="shared" si="2"/>
        <v>-26306.240000000002</v>
      </c>
      <c r="H118" s="12">
        <f t="shared" si="3"/>
        <v>-26306.240000000002</v>
      </c>
      <c r="I118" s="8" t="s">
        <v>248</v>
      </c>
    </row>
    <row r="119" spans="2:9" x14ac:dyDescent="0.3">
      <c r="B119" s="15" t="s">
        <v>249</v>
      </c>
      <c r="C119" s="15" t="s">
        <v>250</v>
      </c>
      <c r="D119" s="16"/>
      <c r="E119" s="16"/>
      <c r="F119" s="16"/>
      <c r="G119" s="16"/>
      <c r="H119" s="16"/>
      <c r="I119" s="15"/>
    </row>
    <row r="120" spans="2:9" x14ac:dyDescent="0.3">
      <c r="B120" s="8" t="s">
        <v>251</v>
      </c>
      <c r="C120" s="8" t="s">
        <v>252</v>
      </c>
      <c r="D120" s="12">
        <v>0</v>
      </c>
      <c r="E120" s="12">
        <v>0</v>
      </c>
      <c r="F120" s="12">
        <v>4253.22</v>
      </c>
      <c r="G120" s="12">
        <f t="shared" si="2"/>
        <v>-4253.22</v>
      </c>
      <c r="H120" s="12">
        <f t="shared" si="3"/>
        <v>-4253.22</v>
      </c>
      <c r="I120" s="8" t="s">
        <v>253</v>
      </c>
    </row>
    <row r="121" spans="2:9" x14ac:dyDescent="0.3">
      <c r="B121" s="8" t="s">
        <v>254</v>
      </c>
      <c r="C121" s="8" t="s">
        <v>255</v>
      </c>
      <c r="D121" s="12">
        <v>-29823.07</v>
      </c>
      <c r="E121" s="12">
        <v>0</v>
      </c>
      <c r="F121" s="12">
        <v>0</v>
      </c>
      <c r="G121" s="12">
        <f t="shared" si="2"/>
        <v>0</v>
      </c>
      <c r="H121" s="12">
        <f t="shared" si="3"/>
        <v>-29823.07</v>
      </c>
      <c r="I121" s="8" t="s">
        <v>253</v>
      </c>
    </row>
    <row r="122" spans="2:9" x14ac:dyDescent="0.3">
      <c r="B122" s="15" t="s">
        <v>256</v>
      </c>
      <c r="C122" s="15" t="s">
        <v>257</v>
      </c>
      <c r="D122" s="16"/>
      <c r="E122" s="16"/>
      <c r="F122" s="16"/>
      <c r="G122" s="16"/>
      <c r="H122" s="16"/>
      <c r="I122" s="15"/>
    </row>
    <row r="123" spans="2:9" x14ac:dyDescent="0.3">
      <c r="B123" s="8" t="s">
        <v>258</v>
      </c>
      <c r="C123" s="8" t="s">
        <v>259</v>
      </c>
      <c r="D123" s="12">
        <v>0</v>
      </c>
      <c r="E123" s="12">
        <v>1</v>
      </c>
      <c r="F123" s="12">
        <v>1379783.25</v>
      </c>
      <c r="G123" s="12">
        <f t="shared" si="2"/>
        <v>-1379782.25</v>
      </c>
      <c r="H123" s="12">
        <f t="shared" si="3"/>
        <v>-1379782.25</v>
      </c>
      <c r="I123" s="8" t="s">
        <v>260</v>
      </c>
    </row>
    <row r="124" spans="2:9" x14ac:dyDescent="0.3">
      <c r="B124" s="8" t="s">
        <v>261</v>
      </c>
      <c r="C124" s="8" t="s">
        <v>262</v>
      </c>
      <c r="D124" s="12">
        <v>0</v>
      </c>
      <c r="E124" s="12">
        <v>2040</v>
      </c>
      <c r="F124" s="12">
        <v>221880.73</v>
      </c>
      <c r="G124" s="12">
        <f t="shared" si="2"/>
        <v>-219840.73</v>
      </c>
      <c r="H124" s="12">
        <f t="shared" si="3"/>
        <v>-219840.73</v>
      </c>
      <c r="I124" s="8" t="s">
        <v>260</v>
      </c>
    </row>
    <row r="125" spans="2:9" x14ac:dyDescent="0.3">
      <c r="B125" s="15" t="s">
        <v>263</v>
      </c>
      <c r="C125" s="15" t="s">
        <v>264</v>
      </c>
      <c r="D125" s="16"/>
      <c r="E125" s="16"/>
      <c r="F125" s="16"/>
      <c r="G125" s="16"/>
      <c r="H125" s="16"/>
      <c r="I125" s="15"/>
    </row>
    <row r="126" spans="2:9" x14ac:dyDescent="0.3">
      <c r="B126" s="8" t="s">
        <v>265</v>
      </c>
      <c r="C126" s="8" t="s">
        <v>266</v>
      </c>
      <c r="D126" s="12">
        <v>0</v>
      </c>
      <c r="E126" s="12">
        <v>2850</v>
      </c>
      <c r="F126" s="12">
        <v>0</v>
      </c>
      <c r="G126" s="12">
        <f t="shared" si="2"/>
        <v>2850</v>
      </c>
      <c r="H126" s="12">
        <f t="shared" si="3"/>
        <v>2850</v>
      </c>
      <c r="I126" s="8" t="s">
        <v>267</v>
      </c>
    </row>
    <row r="127" spans="2:9" x14ac:dyDescent="0.3">
      <c r="B127" s="8" t="s">
        <v>268</v>
      </c>
      <c r="C127" s="8" t="s">
        <v>269</v>
      </c>
      <c r="D127" s="12">
        <v>0</v>
      </c>
      <c r="E127" s="12">
        <v>7780</v>
      </c>
      <c r="F127" s="12">
        <v>0</v>
      </c>
      <c r="G127" s="12">
        <f t="shared" si="2"/>
        <v>7780</v>
      </c>
      <c r="H127" s="12">
        <f t="shared" si="3"/>
        <v>7780</v>
      </c>
      <c r="I127" s="8" t="s">
        <v>267</v>
      </c>
    </row>
    <row r="128" spans="2:9" x14ac:dyDescent="0.3">
      <c r="B128" s="8" t="s">
        <v>270</v>
      </c>
      <c r="C128" s="8" t="s">
        <v>271</v>
      </c>
      <c r="D128" s="12">
        <v>0</v>
      </c>
      <c r="E128" s="12">
        <v>1178895.9099999999</v>
      </c>
      <c r="F128" s="12">
        <v>0</v>
      </c>
      <c r="G128" s="12">
        <f t="shared" si="2"/>
        <v>1178895.9099999999</v>
      </c>
      <c r="H128" s="12">
        <f t="shared" si="3"/>
        <v>1178895.9099999999</v>
      </c>
      <c r="I128" s="8" t="s">
        <v>267</v>
      </c>
    </row>
    <row r="129" spans="2:9" x14ac:dyDescent="0.3">
      <c r="B129" s="8" t="s">
        <v>272</v>
      </c>
      <c r="C129" s="8" t="s">
        <v>273</v>
      </c>
      <c r="D129" s="12">
        <v>0</v>
      </c>
      <c r="E129" s="12">
        <v>18483.240000000002</v>
      </c>
      <c r="F129" s="12">
        <v>12973.5</v>
      </c>
      <c r="G129" s="12">
        <f t="shared" si="2"/>
        <v>5509.7400000000016</v>
      </c>
      <c r="H129" s="12">
        <f t="shared" si="3"/>
        <v>5509.7400000000016</v>
      </c>
      <c r="I129" s="8" t="s">
        <v>267</v>
      </c>
    </row>
    <row r="130" spans="2:9" x14ac:dyDescent="0.3">
      <c r="B130" s="8" t="s">
        <v>274</v>
      </c>
      <c r="C130" s="8" t="s">
        <v>275</v>
      </c>
      <c r="D130" s="12">
        <v>0</v>
      </c>
      <c r="E130" s="12">
        <v>0</v>
      </c>
      <c r="F130" s="12">
        <v>156292.15</v>
      </c>
      <c r="G130" s="12">
        <f t="shared" si="2"/>
        <v>-156292.15</v>
      </c>
      <c r="H130" s="12">
        <f t="shared" si="3"/>
        <v>-156292.15</v>
      </c>
      <c r="I130" s="8" t="s">
        <v>267</v>
      </c>
    </row>
    <row r="131" spans="2:9" x14ac:dyDescent="0.3">
      <c r="B131" s="15" t="s">
        <v>276</v>
      </c>
      <c r="C131" s="15" t="s">
        <v>277</v>
      </c>
      <c r="D131" s="16"/>
      <c r="E131" s="16"/>
      <c r="F131" s="16"/>
      <c r="G131" s="16"/>
      <c r="H131" s="16"/>
      <c r="I131" s="15"/>
    </row>
    <row r="132" spans="2:9" x14ac:dyDescent="0.3">
      <c r="B132" s="8" t="s">
        <v>278</v>
      </c>
      <c r="C132" s="8" t="s">
        <v>279</v>
      </c>
      <c r="D132" s="12">
        <v>0</v>
      </c>
      <c r="E132" s="12">
        <v>130758</v>
      </c>
      <c r="F132" s="12">
        <v>0</v>
      </c>
      <c r="G132" s="12">
        <f t="shared" si="2"/>
        <v>130758</v>
      </c>
      <c r="H132" s="12">
        <f t="shared" si="3"/>
        <v>130758</v>
      </c>
      <c r="I132" s="8" t="s">
        <v>280</v>
      </c>
    </row>
    <row r="133" spans="2:9" x14ac:dyDescent="0.3">
      <c r="B133" s="8" t="s">
        <v>281</v>
      </c>
      <c r="C133" s="8" t="s">
        <v>282</v>
      </c>
      <c r="D133" s="12">
        <v>0</v>
      </c>
      <c r="E133" s="12">
        <v>10134</v>
      </c>
      <c r="F133" s="12">
        <v>0</v>
      </c>
      <c r="G133" s="12">
        <f t="shared" si="2"/>
        <v>10134</v>
      </c>
      <c r="H133" s="12">
        <f t="shared" si="3"/>
        <v>10134</v>
      </c>
      <c r="I133" s="8" t="s">
        <v>280</v>
      </c>
    </row>
    <row r="134" spans="2:9" x14ac:dyDescent="0.3">
      <c r="B134" s="8" t="s">
        <v>283</v>
      </c>
      <c r="C134" s="8" t="s">
        <v>284</v>
      </c>
      <c r="D134" s="12">
        <v>0</v>
      </c>
      <c r="E134" s="12">
        <v>16565.580000000002</v>
      </c>
      <c r="F134" s="12">
        <v>671</v>
      </c>
      <c r="G134" s="12">
        <f t="shared" si="2"/>
        <v>15894.580000000002</v>
      </c>
      <c r="H134" s="12">
        <f t="shared" si="3"/>
        <v>15894.580000000002</v>
      </c>
      <c r="I134" s="8" t="s">
        <v>280</v>
      </c>
    </row>
    <row r="135" spans="2:9" x14ac:dyDescent="0.3">
      <c r="B135" s="8" t="s">
        <v>285</v>
      </c>
      <c r="C135" s="8" t="s">
        <v>286</v>
      </c>
      <c r="D135" s="12">
        <v>0</v>
      </c>
      <c r="E135" s="12">
        <v>5988.16</v>
      </c>
      <c r="F135" s="12">
        <v>0</v>
      </c>
      <c r="G135" s="12">
        <f t="shared" si="2"/>
        <v>5988.16</v>
      </c>
      <c r="H135" s="12">
        <f t="shared" si="3"/>
        <v>5988.16</v>
      </c>
      <c r="I135" s="8" t="s">
        <v>280</v>
      </c>
    </row>
    <row r="136" spans="2:9" x14ac:dyDescent="0.3">
      <c r="B136" s="8" t="s">
        <v>287</v>
      </c>
      <c r="C136" s="8" t="s">
        <v>288</v>
      </c>
      <c r="D136" s="12">
        <v>0</v>
      </c>
      <c r="E136" s="12">
        <v>4627.66</v>
      </c>
      <c r="F136" s="12">
        <v>0</v>
      </c>
      <c r="G136" s="12">
        <f t="shared" si="2"/>
        <v>4627.66</v>
      </c>
      <c r="H136" s="12">
        <f t="shared" si="3"/>
        <v>4627.66</v>
      </c>
      <c r="I136" s="8" t="s">
        <v>280</v>
      </c>
    </row>
    <row r="137" spans="2:9" x14ac:dyDescent="0.3">
      <c r="B137" s="8" t="s">
        <v>289</v>
      </c>
      <c r="C137" s="8" t="s">
        <v>290</v>
      </c>
      <c r="D137" s="12">
        <v>0</v>
      </c>
      <c r="E137" s="12">
        <v>26306.240000000002</v>
      </c>
      <c r="F137" s="12">
        <v>0</v>
      </c>
      <c r="G137" s="12">
        <f t="shared" si="2"/>
        <v>26306.240000000002</v>
      </c>
      <c r="H137" s="12">
        <f t="shared" si="3"/>
        <v>26306.240000000002</v>
      </c>
      <c r="I137" s="8" t="s">
        <v>280</v>
      </c>
    </row>
    <row r="138" spans="2:9" x14ac:dyDescent="0.3">
      <c r="B138" s="8" t="s">
        <v>291</v>
      </c>
      <c r="C138" s="8" t="s">
        <v>292</v>
      </c>
      <c r="D138" s="12">
        <v>0</v>
      </c>
      <c r="E138" s="12">
        <v>30.45</v>
      </c>
      <c r="F138" s="12">
        <v>0</v>
      </c>
      <c r="G138" s="12">
        <f t="shared" ref="G138:G201" si="4">E138-F138</f>
        <v>30.45</v>
      </c>
      <c r="H138" s="12">
        <f t="shared" ref="H138:H201" si="5">D138+G138</f>
        <v>30.45</v>
      </c>
      <c r="I138" s="8" t="s">
        <v>280</v>
      </c>
    </row>
    <row r="139" spans="2:9" x14ac:dyDescent="0.3">
      <c r="B139" s="8" t="s">
        <v>293</v>
      </c>
      <c r="C139" s="8" t="s">
        <v>294</v>
      </c>
      <c r="D139" s="12">
        <v>0</v>
      </c>
      <c r="E139" s="12">
        <v>23537</v>
      </c>
      <c r="F139" s="12">
        <v>0</v>
      </c>
      <c r="G139" s="12">
        <f t="shared" si="4"/>
        <v>23537</v>
      </c>
      <c r="H139" s="12">
        <f t="shared" si="5"/>
        <v>23537</v>
      </c>
      <c r="I139" s="8" t="s">
        <v>280</v>
      </c>
    </row>
    <row r="140" spans="2:9" x14ac:dyDescent="0.3">
      <c r="B140" s="8" t="s">
        <v>295</v>
      </c>
      <c r="C140" s="8" t="s">
        <v>296</v>
      </c>
      <c r="D140" s="12">
        <v>0</v>
      </c>
      <c r="E140" s="12">
        <v>275</v>
      </c>
      <c r="F140" s="12">
        <v>0</v>
      </c>
      <c r="G140" s="12">
        <f t="shared" si="4"/>
        <v>275</v>
      </c>
      <c r="H140" s="12">
        <f t="shared" si="5"/>
        <v>275</v>
      </c>
      <c r="I140" s="8" t="s">
        <v>280</v>
      </c>
    </row>
    <row r="141" spans="2:9" x14ac:dyDescent="0.3">
      <c r="B141" s="8" t="s">
        <v>297</v>
      </c>
      <c r="C141" s="8" t="s">
        <v>298</v>
      </c>
      <c r="D141" s="12">
        <v>0</v>
      </c>
      <c r="E141" s="12">
        <v>200</v>
      </c>
      <c r="F141" s="12">
        <v>0</v>
      </c>
      <c r="G141" s="12">
        <f t="shared" si="4"/>
        <v>200</v>
      </c>
      <c r="H141" s="12">
        <f t="shared" si="5"/>
        <v>200</v>
      </c>
      <c r="I141" s="8" t="s">
        <v>280</v>
      </c>
    </row>
    <row r="142" spans="2:9" x14ac:dyDescent="0.3">
      <c r="B142" s="8" t="s">
        <v>299</v>
      </c>
      <c r="C142" s="8" t="s">
        <v>300</v>
      </c>
      <c r="D142" s="12">
        <v>0</v>
      </c>
      <c r="E142" s="12">
        <v>4038</v>
      </c>
      <c r="F142" s="12">
        <v>0</v>
      </c>
      <c r="G142" s="12">
        <f t="shared" si="4"/>
        <v>4038</v>
      </c>
      <c r="H142" s="12">
        <f t="shared" si="5"/>
        <v>4038</v>
      </c>
      <c r="I142" s="8" t="s">
        <v>280</v>
      </c>
    </row>
    <row r="143" spans="2:9" x14ac:dyDescent="0.3">
      <c r="B143" s="15" t="s">
        <v>301</v>
      </c>
      <c r="C143" s="15" t="s">
        <v>302</v>
      </c>
      <c r="D143" s="16"/>
      <c r="E143" s="16"/>
      <c r="F143" s="16"/>
      <c r="G143" s="16"/>
      <c r="H143" s="16"/>
      <c r="I143" s="15"/>
    </row>
    <row r="144" spans="2:9" x14ac:dyDescent="0.3">
      <c r="B144" s="8" t="s">
        <v>303</v>
      </c>
      <c r="C144" s="8" t="s">
        <v>304</v>
      </c>
      <c r="D144" s="12">
        <v>0</v>
      </c>
      <c r="E144" s="12">
        <v>5892.6</v>
      </c>
      <c r="F144" s="12">
        <v>0</v>
      </c>
      <c r="G144" s="12">
        <f t="shared" si="4"/>
        <v>5892.6</v>
      </c>
      <c r="H144" s="12">
        <f t="shared" si="5"/>
        <v>5892.6</v>
      </c>
      <c r="I144" s="8" t="s">
        <v>305</v>
      </c>
    </row>
    <row r="145" spans="2:9" x14ac:dyDescent="0.3">
      <c r="B145" s="8" t="s">
        <v>306</v>
      </c>
      <c r="C145" s="8" t="s">
        <v>307</v>
      </c>
      <c r="D145" s="12">
        <v>0</v>
      </c>
      <c r="E145" s="12">
        <v>12546</v>
      </c>
      <c r="F145" s="12">
        <v>0</v>
      </c>
      <c r="G145" s="12">
        <f t="shared" si="4"/>
        <v>12546</v>
      </c>
      <c r="H145" s="12">
        <f t="shared" si="5"/>
        <v>12546</v>
      </c>
      <c r="I145" s="8" t="s">
        <v>305</v>
      </c>
    </row>
    <row r="146" spans="2:9" x14ac:dyDescent="0.3">
      <c r="B146" s="8" t="s">
        <v>308</v>
      </c>
      <c r="C146" s="8" t="s">
        <v>309</v>
      </c>
      <c r="D146" s="12">
        <v>0</v>
      </c>
      <c r="E146" s="12">
        <v>600</v>
      </c>
      <c r="F146" s="12">
        <v>0</v>
      </c>
      <c r="G146" s="12">
        <f t="shared" si="4"/>
        <v>600</v>
      </c>
      <c r="H146" s="12">
        <f t="shared" si="5"/>
        <v>600</v>
      </c>
      <c r="I146" s="8" t="s">
        <v>305</v>
      </c>
    </row>
    <row r="147" spans="2:9" x14ac:dyDescent="0.3">
      <c r="B147" s="15" t="s">
        <v>310</v>
      </c>
      <c r="C147" s="15" t="s">
        <v>311</v>
      </c>
      <c r="D147" s="16"/>
      <c r="E147" s="16"/>
      <c r="F147" s="16"/>
      <c r="G147" s="16"/>
      <c r="H147" s="16"/>
      <c r="I147" s="15"/>
    </row>
    <row r="148" spans="2:9" x14ac:dyDescent="0.3">
      <c r="B148" s="8" t="s">
        <v>312</v>
      </c>
      <c r="C148" s="8" t="s">
        <v>313</v>
      </c>
      <c r="D148" s="12">
        <v>0</v>
      </c>
      <c r="E148" s="12">
        <v>11021.32</v>
      </c>
      <c r="F148" s="12">
        <v>0</v>
      </c>
      <c r="G148" s="12">
        <f t="shared" si="4"/>
        <v>11021.32</v>
      </c>
      <c r="H148" s="12">
        <f t="shared" si="5"/>
        <v>11021.32</v>
      </c>
      <c r="I148" s="8" t="s">
        <v>314</v>
      </c>
    </row>
    <row r="149" spans="2:9" x14ac:dyDescent="0.3">
      <c r="B149" s="8" t="s">
        <v>315</v>
      </c>
      <c r="C149" s="8" t="s">
        <v>316</v>
      </c>
      <c r="D149" s="12">
        <v>0</v>
      </c>
      <c r="E149" s="12">
        <v>84.56</v>
      </c>
      <c r="F149" s="12">
        <v>0</v>
      </c>
      <c r="G149" s="12">
        <f t="shared" si="4"/>
        <v>84.56</v>
      </c>
      <c r="H149" s="12">
        <f t="shared" si="5"/>
        <v>84.56</v>
      </c>
      <c r="I149" s="8" t="s">
        <v>314</v>
      </c>
    </row>
    <row r="150" spans="2:9" x14ac:dyDescent="0.3">
      <c r="B150" s="8" t="s">
        <v>317</v>
      </c>
      <c r="C150" s="8" t="s">
        <v>318</v>
      </c>
      <c r="D150" s="12">
        <v>0</v>
      </c>
      <c r="E150" s="12">
        <v>4730.68</v>
      </c>
      <c r="F150" s="12">
        <v>0</v>
      </c>
      <c r="G150" s="12">
        <f t="shared" si="4"/>
        <v>4730.68</v>
      </c>
      <c r="H150" s="12">
        <f t="shared" si="5"/>
        <v>4730.68</v>
      </c>
      <c r="I150" s="8" t="s">
        <v>314</v>
      </c>
    </row>
    <row r="151" spans="2:9" x14ac:dyDescent="0.3">
      <c r="B151" s="8" t="s">
        <v>319</v>
      </c>
      <c r="C151" s="8" t="s">
        <v>320</v>
      </c>
      <c r="D151" s="12">
        <v>0</v>
      </c>
      <c r="E151" s="12">
        <v>474.89</v>
      </c>
      <c r="F151" s="12">
        <v>0</v>
      </c>
      <c r="G151" s="12">
        <f t="shared" si="4"/>
        <v>474.89</v>
      </c>
      <c r="H151" s="12">
        <f t="shared" si="5"/>
        <v>474.89</v>
      </c>
      <c r="I151" s="8" t="s">
        <v>314</v>
      </c>
    </row>
    <row r="152" spans="2:9" x14ac:dyDescent="0.3">
      <c r="B152" s="8" t="s">
        <v>321</v>
      </c>
      <c r="C152" s="8" t="s">
        <v>322</v>
      </c>
      <c r="D152" s="12">
        <v>0</v>
      </c>
      <c r="E152" s="12">
        <v>55.44</v>
      </c>
      <c r="F152" s="12">
        <v>0</v>
      </c>
      <c r="G152" s="12">
        <f t="shared" si="4"/>
        <v>55.44</v>
      </c>
      <c r="H152" s="12">
        <f t="shared" si="5"/>
        <v>55.44</v>
      </c>
      <c r="I152" s="8" t="s">
        <v>314</v>
      </c>
    </row>
    <row r="153" spans="2:9" x14ac:dyDescent="0.3">
      <c r="B153" s="8" t="s">
        <v>323</v>
      </c>
      <c r="C153" s="8" t="s">
        <v>324</v>
      </c>
      <c r="D153" s="12">
        <v>0</v>
      </c>
      <c r="E153" s="12">
        <v>54.55</v>
      </c>
      <c r="F153" s="12">
        <v>0</v>
      </c>
      <c r="G153" s="12">
        <f t="shared" si="4"/>
        <v>54.55</v>
      </c>
      <c r="H153" s="12">
        <f t="shared" si="5"/>
        <v>54.55</v>
      </c>
      <c r="I153" s="8" t="s">
        <v>314</v>
      </c>
    </row>
    <row r="154" spans="2:9" x14ac:dyDescent="0.3">
      <c r="B154" s="8" t="s">
        <v>325</v>
      </c>
      <c r="C154" s="8" t="s">
        <v>326</v>
      </c>
      <c r="D154" s="12">
        <v>0</v>
      </c>
      <c r="E154" s="12">
        <v>856.77</v>
      </c>
      <c r="F154" s="12">
        <v>0</v>
      </c>
      <c r="G154" s="12">
        <f t="shared" si="4"/>
        <v>856.77</v>
      </c>
      <c r="H154" s="12">
        <f t="shared" si="5"/>
        <v>856.77</v>
      </c>
      <c r="I154" s="8" t="s">
        <v>314</v>
      </c>
    </row>
    <row r="155" spans="2:9" x14ac:dyDescent="0.3">
      <c r="B155" s="15" t="s">
        <v>327</v>
      </c>
      <c r="C155" s="15" t="s">
        <v>328</v>
      </c>
      <c r="D155" s="16"/>
      <c r="E155" s="16"/>
      <c r="F155" s="16"/>
      <c r="G155" s="16"/>
      <c r="H155" s="16"/>
      <c r="I155" s="15"/>
    </row>
    <row r="156" spans="2:9" x14ac:dyDescent="0.3">
      <c r="B156" s="8" t="s">
        <v>329</v>
      </c>
      <c r="C156" s="8" t="s">
        <v>330</v>
      </c>
      <c r="D156" s="12">
        <v>0</v>
      </c>
      <c r="E156" s="12">
        <v>161.97</v>
      </c>
      <c r="F156" s="12">
        <v>0</v>
      </c>
      <c r="G156" s="12">
        <f t="shared" si="4"/>
        <v>161.97</v>
      </c>
      <c r="H156" s="12">
        <f t="shared" si="5"/>
        <v>161.97</v>
      </c>
      <c r="I156" s="8" t="s">
        <v>331</v>
      </c>
    </row>
    <row r="157" spans="2:9" x14ac:dyDescent="0.3">
      <c r="B157" s="8" t="s">
        <v>332</v>
      </c>
      <c r="C157" s="8" t="s">
        <v>333</v>
      </c>
      <c r="D157" s="12">
        <v>0</v>
      </c>
      <c r="E157" s="12">
        <v>677</v>
      </c>
      <c r="F157" s="12">
        <v>0</v>
      </c>
      <c r="G157" s="12">
        <f t="shared" si="4"/>
        <v>677</v>
      </c>
      <c r="H157" s="12">
        <f t="shared" si="5"/>
        <v>677</v>
      </c>
      <c r="I157" s="8" t="s">
        <v>331</v>
      </c>
    </row>
    <row r="158" spans="2:9" x14ac:dyDescent="0.3">
      <c r="B158" s="8" t="s">
        <v>334</v>
      </c>
      <c r="C158" s="8" t="s">
        <v>335</v>
      </c>
      <c r="D158" s="12">
        <v>0</v>
      </c>
      <c r="E158" s="12">
        <v>363</v>
      </c>
      <c r="F158" s="12">
        <v>0</v>
      </c>
      <c r="G158" s="12">
        <f t="shared" si="4"/>
        <v>363</v>
      </c>
      <c r="H158" s="12">
        <f t="shared" si="5"/>
        <v>363</v>
      </c>
      <c r="I158" s="8" t="s">
        <v>331</v>
      </c>
    </row>
    <row r="159" spans="2:9" x14ac:dyDescent="0.3">
      <c r="B159" s="8" t="s">
        <v>336</v>
      </c>
      <c r="C159" s="8" t="s">
        <v>337</v>
      </c>
      <c r="D159" s="12">
        <v>0</v>
      </c>
      <c r="E159" s="12">
        <v>1979.83</v>
      </c>
      <c r="F159" s="12">
        <v>0</v>
      </c>
      <c r="G159" s="12">
        <f t="shared" si="4"/>
        <v>1979.83</v>
      </c>
      <c r="H159" s="12">
        <f t="shared" si="5"/>
        <v>1979.83</v>
      </c>
      <c r="I159" s="8" t="s">
        <v>331</v>
      </c>
    </row>
    <row r="160" spans="2:9" x14ac:dyDescent="0.3">
      <c r="B160" s="8" t="s">
        <v>338</v>
      </c>
      <c r="C160" s="8" t="s">
        <v>339</v>
      </c>
      <c r="D160" s="12">
        <v>0</v>
      </c>
      <c r="E160" s="12">
        <v>930</v>
      </c>
      <c r="F160" s="12">
        <v>0</v>
      </c>
      <c r="G160" s="12">
        <f t="shared" si="4"/>
        <v>930</v>
      </c>
      <c r="H160" s="12">
        <f t="shared" si="5"/>
        <v>930</v>
      </c>
      <c r="I160" s="8" t="s">
        <v>331</v>
      </c>
    </row>
    <row r="161" spans="2:9" x14ac:dyDescent="0.3">
      <c r="B161" s="8" t="s">
        <v>340</v>
      </c>
      <c r="C161" s="8" t="s">
        <v>341</v>
      </c>
      <c r="D161" s="12">
        <v>0</v>
      </c>
      <c r="E161" s="12">
        <v>246</v>
      </c>
      <c r="F161" s="12">
        <v>0</v>
      </c>
      <c r="G161" s="12">
        <f t="shared" si="4"/>
        <v>246</v>
      </c>
      <c r="H161" s="12">
        <f t="shared" si="5"/>
        <v>246</v>
      </c>
      <c r="I161" s="8" t="s">
        <v>331</v>
      </c>
    </row>
    <row r="162" spans="2:9" x14ac:dyDescent="0.3">
      <c r="B162" s="8" t="s">
        <v>342</v>
      </c>
      <c r="C162" s="8" t="s">
        <v>343</v>
      </c>
      <c r="D162" s="12">
        <v>0</v>
      </c>
      <c r="E162" s="12">
        <v>3407.86</v>
      </c>
      <c r="F162" s="12">
        <v>0</v>
      </c>
      <c r="G162" s="12">
        <f t="shared" si="4"/>
        <v>3407.86</v>
      </c>
      <c r="H162" s="12">
        <f t="shared" si="5"/>
        <v>3407.86</v>
      </c>
      <c r="I162" s="8" t="s">
        <v>331</v>
      </c>
    </row>
    <row r="163" spans="2:9" x14ac:dyDescent="0.3">
      <c r="B163" s="8" t="s">
        <v>344</v>
      </c>
      <c r="C163" s="8" t="s">
        <v>345</v>
      </c>
      <c r="D163" s="12">
        <v>0</v>
      </c>
      <c r="E163" s="12">
        <v>3154.11</v>
      </c>
      <c r="F163" s="12">
        <v>130</v>
      </c>
      <c r="G163" s="12">
        <f t="shared" si="4"/>
        <v>3024.11</v>
      </c>
      <c r="H163" s="12">
        <f t="shared" si="5"/>
        <v>3024.11</v>
      </c>
      <c r="I163" s="8" t="s">
        <v>331</v>
      </c>
    </row>
    <row r="164" spans="2:9" x14ac:dyDescent="0.3">
      <c r="B164" s="8" t="s">
        <v>346</v>
      </c>
      <c r="C164" s="8" t="s">
        <v>347</v>
      </c>
      <c r="D164" s="12">
        <v>0</v>
      </c>
      <c r="E164" s="12">
        <v>311.27</v>
      </c>
      <c r="F164" s="12">
        <v>0</v>
      </c>
      <c r="G164" s="12">
        <f t="shared" si="4"/>
        <v>311.27</v>
      </c>
      <c r="H164" s="12">
        <f t="shared" si="5"/>
        <v>311.27</v>
      </c>
      <c r="I164" s="8" t="s">
        <v>331</v>
      </c>
    </row>
    <row r="165" spans="2:9" x14ac:dyDescent="0.3">
      <c r="B165" s="8" t="s">
        <v>348</v>
      </c>
      <c r="C165" s="8" t="s">
        <v>349</v>
      </c>
      <c r="D165" s="12">
        <v>0</v>
      </c>
      <c r="E165" s="12">
        <v>1770</v>
      </c>
      <c r="F165" s="12">
        <v>0</v>
      </c>
      <c r="G165" s="12">
        <f t="shared" si="4"/>
        <v>1770</v>
      </c>
      <c r="H165" s="12">
        <f t="shared" si="5"/>
        <v>1770</v>
      </c>
      <c r="I165" s="8" t="s">
        <v>331</v>
      </c>
    </row>
    <row r="166" spans="2:9" x14ac:dyDescent="0.3">
      <c r="B166" s="8" t="s">
        <v>350</v>
      </c>
      <c r="C166" s="8" t="s">
        <v>351</v>
      </c>
      <c r="D166" s="12">
        <v>0</v>
      </c>
      <c r="E166" s="12">
        <v>2000</v>
      </c>
      <c r="F166" s="12">
        <v>0</v>
      </c>
      <c r="G166" s="12">
        <f t="shared" si="4"/>
        <v>2000</v>
      </c>
      <c r="H166" s="12">
        <f t="shared" si="5"/>
        <v>2000</v>
      </c>
      <c r="I166" s="8" t="s">
        <v>331</v>
      </c>
    </row>
    <row r="167" spans="2:9" x14ac:dyDescent="0.3">
      <c r="B167" s="8" t="s">
        <v>352</v>
      </c>
      <c r="C167" s="8" t="s">
        <v>353</v>
      </c>
      <c r="D167" s="12">
        <v>0</v>
      </c>
      <c r="E167" s="12">
        <v>15</v>
      </c>
      <c r="F167" s="12">
        <v>0</v>
      </c>
      <c r="G167" s="12">
        <f t="shared" si="4"/>
        <v>15</v>
      </c>
      <c r="H167" s="12">
        <f t="shared" si="5"/>
        <v>15</v>
      </c>
      <c r="I167" s="8" t="s">
        <v>331</v>
      </c>
    </row>
    <row r="168" spans="2:9" x14ac:dyDescent="0.3">
      <c r="B168" s="15" t="s">
        <v>354</v>
      </c>
      <c r="C168" s="15" t="s">
        <v>355</v>
      </c>
      <c r="D168" s="16"/>
      <c r="E168" s="16"/>
      <c r="F168" s="16"/>
      <c r="G168" s="16"/>
      <c r="H168" s="16"/>
      <c r="I168" s="15"/>
    </row>
    <row r="169" spans="2:9" x14ac:dyDescent="0.3">
      <c r="B169" s="8" t="s">
        <v>356</v>
      </c>
      <c r="C169" s="8" t="s">
        <v>357</v>
      </c>
      <c r="D169" s="12">
        <v>0</v>
      </c>
      <c r="E169" s="12">
        <v>120</v>
      </c>
      <c r="F169" s="12">
        <v>0</v>
      </c>
      <c r="G169" s="12">
        <f t="shared" si="4"/>
        <v>120</v>
      </c>
      <c r="H169" s="12">
        <f t="shared" si="5"/>
        <v>120</v>
      </c>
      <c r="I169" s="8" t="s">
        <v>358</v>
      </c>
    </row>
    <row r="170" spans="2:9" x14ac:dyDescent="0.3">
      <c r="B170" s="8" t="s">
        <v>359</v>
      </c>
      <c r="C170" s="8" t="s">
        <v>360</v>
      </c>
      <c r="D170" s="12">
        <v>0</v>
      </c>
      <c r="E170" s="12">
        <v>1417</v>
      </c>
      <c r="F170" s="12">
        <v>0</v>
      </c>
      <c r="G170" s="12">
        <f t="shared" si="4"/>
        <v>1417</v>
      </c>
      <c r="H170" s="12">
        <f t="shared" si="5"/>
        <v>1417</v>
      </c>
      <c r="I170" s="8" t="s">
        <v>358</v>
      </c>
    </row>
    <row r="171" spans="2:9" x14ac:dyDescent="0.3">
      <c r="B171" s="8" t="s">
        <v>361</v>
      </c>
      <c r="C171" s="8" t="s">
        <v>362</v>
      </c>
      <c r="D171" s="12">
        <v>0</v>
      </c>
      <c r="E171" s="12">
        <v>620</v>
      </c>
      <c r="F171" s="12">
        <v>0</v>
      </c>
      <c r="G171" s="12">
        <f t="shared" si="4"/>
        <v>620</v>
      </c>
      <c r="H171" s="12">
        <f t="shared" si="5"/>
        <v>620</v>
      </c>
      <c r="I171" s="8" t="s">
        <v>358</v>
      </c>
    </row>
    <row r="172" spans="2:9" x14ac:dyDescent="0.3">
      <c r="B172" s="8" t="s">
        <v>363</v>
      </c>
      <c r="C172" s="8" t="s">
        <v>364</v>
      </c>
      <c r="D172" s="12">
        <v>0</v>
      </c>
      <c r="E172" s="12">
        <v>13968.61</v>
      </c>
      <c r="F172" s="12">
        <v>0</v>
      </c>
      <c r="G172" s="12">
        <f t="shared" si="4"/>
        <v>13968.61</v>
      </c>
      <c r="H172" s="12">
        <f t="shared" si="5"/>
        <v>13968.61</v>
      </c>
      <c r="I172" s="8" t="s">
        <v>358</v>
      </c>
    </row>
    <row r="173" spans="2:9" x14ac:dyDescent="0.3">
      <c r="B173" s="8" t="s">
        <v>365</v>
      </c>
      <c r="C173" s="8" t="s">
        <v>366</v>
      </c>
      <c r="D173" s="12">
        <v>0</v>
      </c>
      <c r="E173" s="12">
        <v>581.44000000000005</v>
      </c>
      <c r="F173" s="12">
        <v>0</v>
      </c>
      <c r="G173" s="12">
        <f t="shared" si="4"/>
        <v>581.44000000000005</v>
      </c>
      <c r="H173" s="12">
        <f t="shared" si="5"/>
        <v>581.44000000000005</v>
      </c>
      <c r="I173" s="8" t="s">
        <v>358</v>
      </c>
    </row>
    <row r="174" spans="2:9" x14ac:dyDescent="0.3">
      <c r="B174" s="8" t="s">
        <v>367</v>
      </c>
      <c r="C174" s="8" t="s">
        <v>368</v>
      </c>
      <c r="D174" s="12">
        <v>0</v>
      </c>
      <c r="E174" s="12">
        <v>130</v>
      </c>
      <c r="F174" s="12">
        <v>0</v>
      </c>
      <c r="G174" s="12">
        <f t="shared" si="4"/>
        <v>130</v>
      </c>
      <c r="H174" s="12">
        <f t="shared" si="5"/>
        <v>130</v>
      </c>
      <c r="I174" s="8" t="s">
        <v>358</v>
      </c>
    </row>
    <row r="175" spans="2:9" x14ac:dyDescent="0.3">
      <c r="B175" s="15" t="s">
        <v>369</v>
      </c>
      <c r="C175" s="15" t="s">
        <v>370</v>
      </c>
      <c r="D175" s="16"/>
      <c r="E175" s="16"/>
      <c r="F175" s="16"/>
      <c r="G175" s="16"/>
      <c r="H175" s="16"/>
      <c r="I175" s="15"/>
    </row>
    <row r="176" spans="2:9" x14ac:dyDescent="0.3">
      <c r="B176" s="8" t="s">
        <v>371</v>
      </c>
      <c r="C176" s="8" t="s">
        <v>372</v>
      </c>
      <c r="D176" s="12">
        <v>0</v>
      </c>
      <c r="E176" s="12">
        <v>2776.52</v>
      </c>
      <c r="F176" s="12">
        <v>0</v>
      </c>
      <c r="G176" s="12">
        <f t="shared" si="4"/>
        <v>2776.52</v>
      </c>
      <c r="H176" s="12">
        <f t="shared" si="5"/>
        <v>2776.52</v>
      </c>
      <c r="I176" s="8" t="s">
        <v>373</v>
      </c>
    </row>
    <row r="177" spans="2:9" x14ac:dyDescent="0.3">
      <c r="B177" s="8" t="s">
        <v>374</v>
      </c>
      <c r="C177" s="8" t="s">
        <v>375</v>
      </c>
      <c r="D177" s="12">
        <v>0</v>
      </c>
      <c r="E177" s="12">
        <v>509.6</v>
      </c>
      <c r="F177" s="12">
        <v>0</v>
      </c>
      <c r="G177" s="12">
        <f t="shared" si="4"/>
        <v>509.6</v>
      </c>
      <c r="H177" s="12">
        <f t="shared" si="5"/>
        <v>509.6</v>
      </c>
      <c r="I177" s="8" t="s">
        <v>373</v>
      </c>
    </row>
    <row r="178" spans="2:9" x14ac:dyDescent="0.3">
      <c r="B178" s="8" t="s">
        <v>376</v>
      </c>
      <c r="C178" s="8" t="s">
        <v>377</v>
      </c>
      <c r="D178" s="12">
        <v>0</v>
      </c>
      <c r="E178" s="12">
        <v>501.74</v>
      </c>
      <c r="F178" s="12">
        <v>0</v>
      </c>
      <c r="G178" s="12">
        <f t="shared" si="4"/>
        <v>501.74</v>
      </c>
      <c r="H178" s="12">
        <f t="shared" si="5"/>
        <v>501.74</v>
      </c>
      <c r="I178" s="8" t="s">
        <v>373</v>
      </c>
    </row>
    <row r="179" spans="2:9" x14ac:dyDescent="0.3">
      <c r="B179" s="8" t="s">
        <v>378</v>
      </c>
      <c r="C179" s="8" t="s">
        <v>379</v>
      </c>
      <c r="D179" s="12">
        <v>0</v>
      </c>
      <c r="E179" s="12">
        <v>347.96</v>
      </c>
      <c r="F179" s="12">
        <v>0</v>
      </c>
      <c r="G179" s="12">
        <f t="shared" si="4"/>
        <v>347.96</v>
      </c>
      <c r="H179" s="12">
        <f t="shared" si="5"/>
        <v>347.96</v>
      </c>
      <c r="I179" s="8" t="s">
        <v>373</v>
      </c>
    </row>
    <row r="180" spans="2:9" x14ac:dyDescent="0.3">
      <c r="B180" s="8" t="s">
        <v>380</v>
      </c>
      <c r="C180" s="8" t="s">
        <v>381</v>
      </c>
      <c r="D180" s="12">
        <v>0</v>
      </c>
      <c r="E180" s="12">
        <v>173.91</v>
      </c>
      <c r="F180" s="12">
        <v>0</v>
      </c>
      <c r="G180" s="12">
        <f t="shared" si="4"/>
        <v>173.91</v>
      </c>
      <c r="H180" s="12">
        <f t="shared" si="5"/>
        <v>173.91</v>
      </c>
      <c r="I180" s="8" t="s">
        <v>373</v>
      </c>
    </row>
    <row r="181" spans="2:9" x14ac:dyDescent="0.3">
      <c r="B181" s="8" t="s">
        <v>382</v>
      </c>
      <c r="C181" s="8" t="s">
        <v>383</v>
      </c>
      <c r="D181" s="12">
        <v>0</v>
      </c>
      <c r="E181" s="12">
        <v>518.26</v>
      </c>
      <c r="F181" s="12">
        <v>0</v>
      </c>
      <c r="G181" s="12">
        <f t="shared" si="4"/>
        <v>518.26</v>
      </c>
      <c r="H181" s="12">
        <f t="shared" si="5"/>
        <v>518.26</v>
      </c>
      <c r="I181" s="8" t="s">
        <v>373</v>
      </c>
    </row>
    <row r="182" spans="2:9" x14ac:dyDescent="0.3">
      <c r="B182" s="8" t="s">
        <v>384</v>
      </c>
      <c r="C182" s="8" t="s">
        <v>385</v>
      </c>
      <c r="D182" s="12">
        <v>0</v>
      </c>
      <c r="E182" s="12">
        <v>1300.03</v>
      </c>
      <c r="F182" s="12">
        <v>0</v>
      </c>
      <c r="G182" s="12">
        <f t="shared" si="4"/>
        <v>1300.03</v>
      </c>
      <c r="H182" s="12">
        <f t="shared" si="5"/>
        <v>1300.03</v>
      </c>
      <c r="I182" s="8" t="s">
        <v>373</v>
      </c>
    </row>
    <row r="183" spans="2:9" x14ac:dyDescent="0.3">
      <c r="B183" s="8" t="s">
        <v>386</v>
      </c>
      <c r="C183" s="8" t="s">
        <v>387</v>
      </c>
      <c r="D183" s="12">
        <v>0</v>
      </c>
      <c r="E183" s="12">
        <v>260.87</v>
      </c>
      <c r="F183" s="12">
        <v>0</v>
      </c>
      <c r="G183" s="12">
        <f t="shared" si="4"/>
        <v>260.87</v>
      </c>
      <c r="H183" s="12">
        <f t="shared" si="5"/>
        <v>260.87</v>
      </c>
      <c r="I183" s="8" t="s">
        <v>373</v>
      </c>
    </row>
    <row r="184" spans="2:9" x14ac:dyDescent="0.3">
      <c r="B184" s="8" t="s">
        <v>388</v>
      </c>
      <c r="C184" s="8" t="s">
        <v>389</v>
      </c>
      <c r="D184" s="12">
        <v>0</v>
      </c>
      <c r="E184" s="12">
        <v>434.26</v>
      </c>
      <c r="F184" s="12">
        <v>0</v>
      </c>
      <c r="G184" s="12">
        <f t="shared" si="4"/>
        <v>434.26</v>
      </c>
      <c r="H184" s="12">
        <f t="shared" si="5"/>
        <v>434.26</v>
      </c>
      <c r="I184" s="8" t="s">
        <v>373</v>
      </c>
    </row>
    <row r="185" spans="2:9" x14ac:dyDescent="0.3">
      <c r="B185" s="15" t="s">
        <v>390</v>
      </c>
      <c r="C185" s="15" t="s">
        <v>391</v>
      </c>
      <c r="D185" s="16"/>
      <c r="E185" s="16"/>
      <c r="F185" s="16"/>
      <c r="G185" s="16"/>
      <c r="H185" s="16"/>
      <c r="I185" s="15"/>
    </row>
    <row r="186" spans="2:9" x14ac:dyDescent="0.3">
      <c r="B186" s="8" t="s">
        <v>392</v>
      </c>
      <c r="C186" s="8" t="s">
        <v>393</v>
      </c>
      <c r="D186" s="12">
        <v>0</v>
      </c>
      <c r="E186" s="12">
        <v>15502.11</v>
      </c>
      <c r="F186" s="12">
        <v>0</v>
      </c>
      <c r="G186" s="12">
        <f t="shared" si="4"/>
        <v>15502.11</v>
      </c>
      <c r="H186" s="12">
        <f t="shared" si="5"/>
        <v>15502.11</v>
      </c>
      <c r="I186" s="8" t="s">
        <v>394</v>
      </c>
    </row>
    <row r="187" spans="2:9" x14ac:dyDescent="0.3">
      <c r="B187" s="15" t="s">
        <v>395</v>
      </c>
      <c r="C187" s="15" t="s">
        <v>396</v>
      </c>
      <c r="D187" s="16"/>
      <c r="E187" s="16"/>
      <c r="F187" s="16"/>
      <c r="G187" s="16"/>
      <c r="H187" s="16"/>
      <c r="I187" s="15"/>
    </row>
    <row r="188" spans="2:9" x14ac:dyDescent="0.3">
      <c r="B188" s="8" t="s">
        <v>397</v>
      </c>
      <c r="C188" s="8" t="s">
        <v>398</v>
      </c>
      <c r="D188" s="12">
        <v>0</v>
      </c>
      <c r="E188" s="12">
        <v>51510.11</v>
      </c>
      <c r="F188" s="12">
        <v>0</v>
      </c>
      <c r="G188" s="12">
        <f t="shared" si="4"/>
        <v>51510.11</v>
      </c>
      <c r="H188" s="12">
        <f t="shared" si="5"/>
        <v>51510.11</v>
      </c>
      <c r="I188" s="8" t="s">
        <v>399</v>
      </c>
    </row>
    <row r="189" spans="2:9" x14ac:dyDescent="0.3">
      <c r="B189" s="8" t="s">
        <v>400</v>
      </c>
      <c r="C189" s="8" t="s">
        <v>401</v>
      </c>
      <c r="D189" s="12">
        <v>0</v>
      </c>
      <c r="E189" s="12">
        <v>12389</v>
      </c>
      <c r="F189" s="12">
        <v>0</v>
      </c>
      <c r="G189" s="12">
        <f t="shared" si="4"/>
        <v>12389</v>
      </c>
      <c r="H189" s="12">
        <f t="shared" si="5"/>
        <v>12389</v>
      </c>
      <c r="I189" s="8" t="s">
        <v>399</v>
      </c>
    </row>
    <row r="190" spans="2:9" x14ac:dyDescent="0.3">
      <c r="B190" s="8" t="s">
        <v>402</v>
      </c>
      <c r="C190" s="8" t="s">
        <v>403</v>
      </c>
      <c r="D190" s="12">
        <v>0</v>
      </c>
      <c r="E190" s="12">
        <v>561.83000000000004</v>
      </c>
      <c r="F190" s="12">
        <v>0</v>
      </c>
      <c r="G190" s="12">
        <f t="shared" si="4"/>
        <v>561.83000000000004</v>
      </c>
      <c r="H190" s="12">
        <f t="shared" si="5"/>
        <v>561.83000000000004</v>
      </c>
      <c r="I190" s="8" t="s">
        <v>399</v>
      </c>
    </row>
    <row r="191" spans="2:9" x14ac:dyDescent="0.3">
      <c r="B191" s="8" t="s">
        <v>404</v>
      </c>
      <c r="C191" s="8" t="s">
        <v>405</v>
      </c>
      <c r="D191" s="12">
        <v>0</v>
      </c>
      <c r="E191" s="12">
        <v>2070</v>
      </c>
      <c r="F191" s="12">
        <v>0</v>
      </c>
      <c r="G191" s="12">
        <f t="shared" si="4"/>
        <v>2070</v>
      </c>
      <c r="H191" s="12">
        <f t="shared" si="5"/>
        <v>2070</v>
      </c>
      <c r="I191" s="8" t="s">
        <v>399</v>
      </c>
    </row>
    <row r="192" spans="2:9" x14ac:dyDescent="0.3">
      <c r="B192" s="8" t="s">
        <v>406</v>
      </c>
      <c r="C192" s="8" t="s">
        <v>407</v>
      </c>
      <c r="D192" s="12">
        <v>0</v>
      </c>
      <c r="E192" s="12">
        <v>26</v>
      </c>
      <c r="F192" s="12">
        <v>0</v>
      </c>
      <c r="G192" s="12">
        <f t="shared" si="4"/>
        <v>26</v>
      </c>
      <c r="H192" s="12">
        <f t="shared" si="5"/>
        <v>26</v>
      </c>
      <c r="I192" s="8" t="s">
        <v>399</v>
      </c>
    </row>
    <row r="193" spans="2:9" x14ac:dyDescent="0.3">
      <c r="B193" s="15" t="s">
        <v>408</v>
      </c>
      <c r="C193" s="15" t="s">
        <v>409</v>
      </c>
      <c r="D193" s="16"/>
      <c r="E193" s="16"/>
      <c r="F193" s="16"/>
      <c r="G193" s="16"/>
      <c r="H193" s="16"/>
      <c r="I193" s="15"/>
    </row>
    <row r="194" spans="2:9" x14ac:dyDescent="0.3">
      <c r="B194" s="8" t="s">
        <v>410</v>
      </c>
      <c r="C194" s="8" t="s">
        <v>411</v>
      </c>
      <c r="D194" s="12">
        <v>0</v>
      </c>
      <c r="E194" s="12">
        <v>2700.46</v>
      </c>
      <c r="F194" s="12">
        <v>0</v>
      </c>
      <c r="G194" s="12">
        <f t="shared" si="4"/>
        <v>2700.46</v>
      </c>
      <c r="H194" s="12">
        <f t="shared" si="5"/>
        <v>2700.46</v>
      </c>
      <c r="I194" s="8" t="s">
        <v>412</v>
      </c>
    </row>
    <row r="195" spans="2:9" x14ac:dyDescent="0.3">
      <c r="B195" s="8" t="s">
        <v>413</v>
      </c>
      <c r="C195" s="8" t="s">
        <v>414</v>
      </c>
      <c r="D195" s="12">
        <v>0</v>
      </c>
      <c r="E195" s="12">
        <v>6552.74</v>
      </c>
      <c r="F195" s="12">
        <v>0</v>
      </c>
      <c r="G195" s="12">
        <f t="shared" si="4"/>
        <v>6552.74</v>
      </c>
      <c r="H195" s="12">
        <f t="shared" si="5"/>
        <v>6552.74</v>
      </c>
      <c r="I195" s="8" t="s">
        <v>412</v>
      </c>
    </row>
    <row r="196" spans="2:9" x14ac:dyDescent="0.3">
      <c r="B196" s="8" t="s">
        <v>415</v>
      </c>
      <c r="C196" s="8" t="s">
        <v>416</v>
      </c>
      <c r="D196" s="12">
        <v>0</v>
      </c>
      <c r="E196" s="12">
        <v>1000</v>
      </c>
      <c r="F196" s="12">
        <v>0</v>
      </c>
      <c r="G196" s="12">
        <f t="shared" si="4"/>
        <v>1000</v>
      </c>
      <c r="H196" s="12">
        <f t="shared" si="5"/>
        <v>1000</v>
      </c>
      <c r="I196" s="8" t="s">
        <v>412</v>
      </c>
    </row>
    <row r="197" spans="2:9" x14ac:dyDescent="0.3">
      <c r="B197" s="8" t="s">
        <v>417</v>
      </c>
      <c r="C197" s="8" t="s">
        <v>418</v>
      </c>
      <c r="D197" s="12">
        <v>0</v>
      </c>
      <c r="E197" s="12">
        <v>1800</v>
      </c>
      <c r="F197" s="12">
        <v>0</v>
      </c>
      <c r="G197" s="12">
        <f t="shared" si="4"/>
        <v>1800</v>
      </c>
      <c r="H197" s="12">
        <f t="shared" si="5"/>
        <v>1800</v>
      </c>
      <c r="I197" s="8" t="s">
        <v>412</v>
      </c>
    </row>
    <row r="198" spans="2:9" x14ac:dyDescent="0.3">
      <c r="B198" s="15" t="s">
        <v>419</v>
      </c>
      <c r="C198" s="15" t="s">
        <v>420</v>
      </c>
      <c r="D198" s="16"/>
      <c r="E198" s="16"/>
      <c r="F198" s="16"/>
      <c r="G198" s="16"/>
      <c r="H198" s="16"/>
      <c r="I198" s="15"/>
    </row>
    <row r="199" spans="2:9" x14ac:dyDescent="0.3">
      <c r="B199" s="8" t="s">
        <v>421</v>
      </c>
      <c r="C199" s="8" t="s">
        <v>422</v>
      </c>
      <c r="D199" s="12">
        <v>0</v>
      </c>
      <c r="E199" s="12">
        <v>64000</v>
      </c>
      <c r="F199" s="12">
        <v>0</v>
      </c>
      <c r="G199" s="12">
        <f t="shared" si="4"/>
        <v>64000</v>
      </c>
      <c r="H199" s="12">
        <f t="shared" si="5"/>
        <v>64000</v>
      </c>
      <c r="I199" s="8" t="s">
        <v>423</v>
      </c>
    </row>
    <row r="200" spans="2:9" x14ac:dyDescent="0.3">
      <c r="B200" s="8" t="s">
        <v>424</v>
      </c>
      <c r="C200" s="8" t="s">
        <v>425</v>
      </c>
      <c r="D200" s="12">
        <v>0</v>
      </c>
      <c r="E200" s="12">
        <v>286.7</v>
      </c>
      <c r="F200" s="12">
        <v>0</v>
      </c>
      <c r="G200" s="12">
        <f t="shared" si="4"/>
        <v>286.7</v>
      </c>
      <c r="H200" s="12">
        <f t="shared" si="5"/>
        <v>286.7</v>
      </c>
      <c r="I200" s="8" t="s">
        <v>423</v>
      </c>
    </row>
    <row r="201" spans="2:9" x14ac:dyDescent="0.3">
      <c r="B201" s="8" t="s">
        <v>426</v>
      </c>
      <c r="C201" s="8" t="s">
        <v>427</v>
      </c>
      <c r="D201" s="12">
        <v>0</v>
      </c>
      <c r="E201" s="12">
        <v>3646.78</v>
      </c>
      <c r="F201" s="12">
        <v>0</v>
      </c>
      <c r="G201" s="12">
        <f t="shared" si="4"/>
        <v>3646.78</v>
      </c>
      <c r="H201" s="12">
        <f t="shared" si="5"/>
        <v>3646.78</v>
      </c>
      <c r="I201" s="8" t="s">
        <v>423</v>
      </c>
    </row>
    <row r="202" spans="2:9" x14ac:dyDescent="0.3">
      <c r="B202" s="8" t="s">
        <v>428</v>
      </c>
      <c r="C202" s="8" t="s">
        <v>429</v>
      </c>
      <c r="D202" s="12">
        <v>0</v>
      </c>
      <c r="E202" s="12">
        <v>2611.27</v>
      </c>
      <c r="F202" s="12">
        <v>0</v>
      </c>
      <c r="G202" s="12">
        <f t="shared" ref="G202:G206" si="6">E202-F202</f>
        <v>2611.27</v>
      </c>
      <c r="H202" s="12">
        <f t="shared" ref="H202:H206" si="7">D202+G202</f>
        <v>2611.27</v>
      </c>
      <c r="I202" s="8" t="s">
        <v>423</v>
      </c>
    </row>
    <row r="203" spans="2:9" x14ac:dyDescent="0.3">
      <c r="B203" s="15" t="s">
        <v>430</v>
      </c>
      <c r="C203" s="15" t="s">
        <v>431</v>
      </c>
      <c r="D203" s="16"/>
      <c r="E203" s="16"/>
      <c r="F203" s="16"/>
      <c r="G203" s="16"/>
      <c r="H203" s="16"/>
      <c r="I203" s="15"/>
    </row>
    <row r="204" spans="2:9" x14ac:dyDescent="0.3">
      <c r="B204" s="8" t="s">
        <v>432</v>
      </c>
      <c r="C204" s="8" t="s">
        <v>433</v>
      </c>
      <c r="D204" s="12">
        <v>0</v>
      </c>
      <c r="E204" s="12">
        <v>4.53</v>
      </c>
      <c r="F204" s="12">
        <v>0</v>
      </c>
      <c r="G204" s="12">
        <f t="shared" si="6"/>
        <v>4.53</v>
      </c>
      <c r="H204" s="12">
        <f t="shared" si="7"/>
        <v>4.53</v>
      </c>
      <c r="I204" s="8" t="s">
        <v>434</v>
      </c>
    </row>
    <row r="205" spans="2:9" x14ac:dyDescent="0.3">
      <c r="B205" s="15" t="s">
        <v>435</v>
      </c>
      <c r="C205" s="15" t="s">
        <v>436</v>
      </c>
      <c r="D205" s="16"/>
      <c r="E205" s="16"/>
      <c r="F205" s="16"/>
      <c r="G205" s="16"/>
      <c r="H205" s="16"/>
      <c r="I205" s="15"/>
    </row>
    <row r="206" spans="2:9" x14ac:dyDescent="0.3">
      <c r="B206" s="8" t="s">
        <v>437</v>
      </c>
      <c r="C206" s="8" t="s">
        <v>438</v>
      </c>
      <c r="D206" s="12">
        <v>0</v>
      </c>
      <c r="E206" s="12">
        <v>386.16</v>
      </c>
      <c r="F206" s="12">
        <v>0</v>
      </c>
      <c r="G206" s="12">
        <f t="shared" si="6"/>
        <v>386.16</v>
      </c>
      <c r="H206" s="12">
        <f t="shared" si="7"/>
        <v>386.16</v>
      </c>
      <c r="I206" s="8" t="s">
        <v>439</v>
      </c>
    </row>
    <row r="207" spans="2:9" x14ac:dyDescent="0.3">
      <c r="B207" s="15" t="s">
        <v>440</v>
      </c>
      <c r="C207" s="15" t="s">
        <v>441</v>
      </c>
      <c r="D207" s="16">
        <f t="shared" ref="D207" si="8">SUM(D8:D206)</f>
        <v>-5.0931703299283981E-11</v>
      </c>
      <c r="E207" s="16">
        <f>SUM(E8:E206)</f>
        <v>13677326.36999999</v>
      </c>
      <c r="F207" s="16">
        <f t="shared" ref="F207:H207" si="9">SUM(F8:F206)</f>
        <v>13677326.370000003</v>
      </c>
      <c r="G207" s="16">
        <f t="shared" si="9"/>
        <v>-2.3305801732931286E-12</v>
      </c>
      <c r="H207" s="16">
        <f t="shared" si="9"/>
        <v>-2.3305801732931286E-12</v>
      </c>
      <c r="I207" s="15"/>
    </row>
    <row r="208" spans="2:9" x14ac:dyDescent="0.3">
      <c r="B208" s="2"/>
      <c r="C208" s="2"/>
      <c r="D208" s="10"/>
      <c r="E208" s="10"/>
      <c r="F208" s="10"/>
      <c r="G208" s="10"/>
      <c r="H208" s="10"/>
      <c r="I208" s="2"/>
    </row>
    <row r="209" spans="1:9" ht="15" thickBot="1" x14ac:dyDescent="0.35">
      <c r="A209" s="1"/>
      <c r="B209" s="4"/>
      <c r="C209" s="4"/>
      <c r="D209" s="13"/>
      <c r="E209" s="13">
        <v>13677326.35</v>
      </c>
      <c r="F209" s="13">
        <v>13677326.35</v>
      </c>
      <c r="G209" s="13"/>
      <c r="H209" s="13"/>
      <c r="I209" s="4"/>
    </row>
    <row r="210" spans="1:9" x14ac:dyDescent="0.3">
      <c r="B210" s="2"/>
      <c r="C210" s="2"/>
      <c r="D210" s="10"/>
      <c r="E210" s="10">
        <f>E207-E209</f>
        <v>1.9999990239739418E-2</v>
      </c>
      <c r="F210" s="10">
        <f>F207-F209</f>
        <v>2.0000003278255463E-2</v>
      </c>
      <c r="G210" s="10"/>
      <c r="H210" s="10"/>
      <c r="I210" s="2"/>
    </row>
  </sheetData>
  <autoFilter ref="B7:I207" xr:uid="{A53BB6C0-A450-4188-9FCC-72763F246942}"/>
  <mergeCells count="3">
    <mergeCell ref="B1:I1"/>
    <mergeCell ref="B2:I2"/>
    <mergeCell ref="B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340C-1607-485A-86C9-05BCB66EF8DF}">
  <dimension ref="A1:J288"/>
  <sheetViews>
    <sheetView showGridLines="0" workbookViewId="0"/>
  </sheetViews>
  <sheetFormatPr defaultRowHeight="14.4" x14ac:dyDescent="0.3"/>
  <cols>
    <col min="3" max="3" width="42.109375" customWidth="1"/>
    <col min="4" max="4" width="16.109375" style="14" bestFit="1" customWidth="1"/>
    <col min="5" max="6" width="14.109375" style="14" bestFit="1" customWidth="1"/>
    <col min="7" max="7" width="12.5546875" style="14" bestFit="1" customWidth="1"/>
    <col min="8" max="8" width="15" style="14" bestFit="1" customWidth="1"/>
    <col min="9" max="9" width="32.6640625" bestFit="1" customWidth="1"/>
  </cols>
  <sheetData>
    <row r="1" spans="2:10" x14ac:dyDescent="0.3">
      <c r="B1" s="18" t="s">
        <v>0</v>
      </c>
      <c r="C1" s="19"/>
      <c r="D1" s="19"/>
      <c r="E1" s="19"/>
      <c r="F1" s="19"/>
      <c r="G1" s="19"/>
      <c r="H1" s="19"/>
      <c r="I1" s="19"/>
    </row>
    <row r="2" spans="2:10" x14ac:dyDescent="0.3">
      <c r="B2" s="18" t="s">
        <v>442</v>
      </c>
      <c r="C2" s="18"/>
      <c r="D2" s="18"/>
      <c r="E2" s="18"/>
      <c r="F2" s="18"/>
      <c r="G2" s="18"/>
      <c r="H2" s="18"/>
      <c r="I2" s="18"/>
    </row>
    <row r="3" spans="2:10" x14ac:dyDescent="0.3">
      <c r="B3" s="18"/>
      <c r="C3" s="18"/>
      <c r="D3" s="18"/>
      <c r="E3" s="18"/>
      <c r="F3" s="18"/>
      <c r="G3" s="18"/>
      <c r="H3" s="18"/>
      <c r="I3" s="18"/>
    </row>
    <row r="4" spans="2:10" x14ac:dyDescent="0.3">
      <c r="B4" s="2"/>
      <c r="C4" s="2"/>
      <c r="D4" s="10"/>
      <c r="E4" s="10"/>
      <c r="F4" s="10"/>
      <c r="G4" s="10"/>
      <c r="H4" s="10"/>
      <c r="I4" s="2"/>
    </row>
    <row r="5" spans="2:10" x14ac:dyDescent="0.3">
      <c r="B5" s="2"/>
      <c r="C5" s="2"/>
      <c r="D5" s="10"/>
      <c r="E5" s="10"/>
      <c r="F5" s="10"/>
      <c r="G5" s="10"/>
      <c r="H5" s="10"/>
      <c r="I5" s="2"/>
    </row>
    <row r="6" spans="2:10" x14ac:dyDescent="0.3">
      <c r="B6" s="6" t="s">
        <v>2</v>
      </c>
      <c r="C6" s="6" t="s">
        <v>3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  <c r="I6" s="6" t="s">
        <v>9</v>
      </c>
      <c r="J6" s="1"/>
    </row>
    <row r="7" spans="2:10" x14ac:dyDescent="0.3">
      <c r="B7" s="6"/>
      <c r="C7" s="6"/>
      <c r="D7" s="11"/>
      <c r="E7" s="11"/>
      <c r="F7" s="11"/>
      <c r="G7" s="11"/>
      <c r="H7" s="11"/>
      <c r="I7" s="6"/>
      <c r="J7" s="1"/>
    </row>
    <row r="8" spans="2:10" x14ac:dyDescent="0.3">
      <c r="B8" s="15" t="s">
        <v>10</v>
      </c>
      <c r="C8" s="15" t="s">
        <v>11</v>
      </c>
      <c r="D8" s="16"/>
      <c r="E8" s="16"/>
      <c r="F8" s="16"/>
      <c r="G8" s="16"/>
      <c r="H8" s="16"/>
      <c r="I8" s="15"/>
    </row>
    <row r="9" spans="2:10" x14ac:dyDescent="0.3">
      <c r="B9" s="8" t="s">
        <v>12</v>
      </c>
      <c r="C9" s="8" t="s">
        <v>13</v>
      </c>
      <c r="D9" s="12">
        <v>0</v>
      </c>
      <c r="E9" s="12">
        <v>0</v>
      </c>
      <c r="F9" s="12">
        <v>0</v>
      </c>
      <c r="G9" s="12">
        <f t="shared" ref="G9:G71" si="0">E9-F9</f>
        <v>0</v>
      </c>
      <c r="H9" s="12">
        <f t="shared" ref="H9:H71" si="1">D9+G9</f>
        <v>0</v>
      </c>
      <c r="I9" s="8" t="s">
        <v>14</v>
      </c>
    </row>
    <row r="10" spans="2:10" x14ac:dyDescent="0.3">
      <c r="B10" s="15" t="s">
        <v>15</v>
      </c>
      <c r="C10" s="15" t="s">
        <v>16</v>
      </c>
      <c r="D10" s="16"/>
      <c r="E10" s="16"/>
      <c r="F10" s="16"/>
      <c r="G10" s="16"/>
      <c r="H10" s="16"/>
      <c r="I10" s="15"/>
    </row>
    <row r="11" spans="2:10" x14ac:dyDescent="0.3">
      <c r="B11" s="15" t="s">
        <v>17</v>
      </c>
      <c r="C11" s="15" t="s">
        <v>18</v>
      </c>
      <c r="D11" s="16"/>
      <c r="E11" s="16"/>
      <c r="F11" s="16"/>
      <c r="G11" s="16"/>
      <c r="H11" s="16"/>
      <c r="I11" s="15"/>
    </row>
    <row r="12" spans="2:10" x14ac:dyDescent="0.3">
      <c r="B12" s="8" t="s">
        <v>19</v>
      </c>
      <c r="C12" s="8" t="s">
        <v>20</v>
      </c>
      <c r="D12" s="12">
        <v>42081.98</v>
      </c>
      <c r="E12" s="12">
        <v>1076830.55</v>
      </c>
      <c r="F12" s="12">
        <v>991846.49</v>
      </c>
      <c r="G12" s="12">
        <f t="shared" si="0"/>
        <v>84984.060000000056</v>
      </c>
      <c r="H12" s="12">
        <f t="shared" si="1"/>
        <v>127066.04000000007</v>
      </c>
      <c r="I12" s="8" t="s">
        <v>21</v>
      </c>
    </row>
    <row r="13" spans="2:10" x14ac:dyDescent="0.3">
      <c r="B13" s="8" t="s">
        <v>22</v>
      </c>
      <c r="C13" s="8" t="s">
        <v>23</v>
      </c>
      <c r="D13" s="12">
        <v>-3570</v>
      </c>
      <c r="E13" s="12">
        <v>54720.36</v>
      </c>
      <c r="F13" s="12">
        <v>51150.36</v>
      </c>
      <c r="G13" s="12">
        <f t="shared" si="0"/>
        <v>3570</v>
      </c>
      <c r="H13" s="12">
        <f t="shared" si="1"/>
        <v>0</v>
      </c>
      <c r="I13" s="8" t="s">
        <v>21</v>
      </c>
    </row>
    <row r="14" spans="2:10" x14ac:dyDescent="0.3">
      <c r="B14" s="8" t="s">
        <v>24</v>
      </c>
      <c r="C14" s="8" t="s">
        <v>25</v>
      </c>
      <c r="D14" s="12">
        <v>-578020.5</v>
      </c>
      <c r="E14" s="12">
        <v>937129.4</v>
      </c>
      <c r="F14" s="12">
        <v>359108.9</v>
      </c>
      <c r="G14" s="12">
        <f t="shared" si="0"/>
        <v>578020.5</v>
      </c>
      <c r="H14" s="12">
        <f t="shared" si="1"/>
        <v>0</v>
      </c>
      <c r="I14" s="8" t="s">
        <v>21</v>
      </c>
    </row>
    <row r="15" spans="2:10" x14ac:dyDescent="0.3">
      <c r="B15" s="8" t="s">
        <v>26</v>
      </c>
      <c r="C15" s="8" t="s">
        <v>27</v>
      </c>
      <c r="D15" s="12">
        <v>0</v>
      </c>
      <c r="E15" s="12">
        <v>3345</v>
      </c>
      <c r="F15" s="12">
        <v>3145</v>
      </c>
      <c r="G15" s="12">
        <f t="shared" si="0"/>
        <v>200</v>
      </c>
      <c r="H15" s="12">
        <f t="shared" si="1"/>
        <v>200</v>
      </c>
      <c r="I15" s="8" t="s">
        <v>21</v>
      </c>
    </row>
    <row r="16" spans="2:10" x14ac:dyDescent="0.3">
      <c r="B16" s="15" t="s">
        <v>28</v>
      </c>
      <c r="C16" s="15" t="s">
        <v>29</v>
      </c>
      <c r="D16" s="16"/>
      <c r="E16" s="16"/>
      <c r="F16" s="16"/>
      <c r="G16" s="16"/>
      <c r="H16" s="16"/>
      <c r="I16" s="15"/>
    </row>
    <row r="17" spans="2:9" x14ac:dyDescent="0.3">
      <c r="B17" s="8" t="s">
        <v>30</v>
      </c>
      <c r="C17" s="8" t="s">
        <v>31</v>
      </c>
      <c r="D17" s="12">
        <v>20467.86</v>
      </c>
      <c r="E17" s="12">
        <v>1899389.44</v>
      </c>
      <c r="F17" s="12">
        <v>1907024.18</v>
      </c>
      <c r="G17" s="12">
        <f t="shared" si="0"/>
        <v>-7634.7399999999907</v>
      </c>
      <c r="H17" s="12">
        <f t="shared" si="1"/>
        <v>12833.12000000001</v>
      </c>
      <c r="I17" s="8" t="s">
        <v>32</v>
      </c>
    </row>
    <row r="18" spans="2:9" x14ac:dyDescent="0.3">
      <c r="B18" s="8" t="s">
        <v>443</v>
      </c>
      <c r="C18" s="8" t="s">
        <v>444</v>
      </c>
      <c r="D18" s="12">
        <v>0</v>
      </c>
      <c r="E18" s="12">
        <v>100</v>
      </c>
      <c r="F18" s="12">
        <v>0</v>
      </c>
      <c r="G18" s="12">
        <f t="shared" si="0"/>
        <v>100</v>
      </c>
      <c r="H18" s="12">
        <f t="shared" si="1"/>
        <v>100</v>
      </c>
      <c r="I18" s="8" t="s">
        <v>32</v>
      </c>
    </row>
    <row r="19" spans="2:9" x14ac:dyDescent="0.3">
      <c r="B19" s="15" t="s">
        <v>33</v>
      </c>
      <c r="C19" s="15" t="s">
        <v>34</v>
      </c>
      <c r="D19" s="16"/>
      <c r="E19" s="16"/>
      <c r="F19" s="16"/>
      <c r="G19" s="16"/>
      <c r="H19" s="16"/>
      <c r="I19" s="15"/>
    </row>
    <row r="20" spans="2:9" x14ac:dyDescent="0.3">
      <c r="B20" s="8" t="s">
        <v>35</v>
      </c>
      <c r="C20" s="8" t="s">
        <v>36</v>
      </c>
      <c r="D20" s="12">
        <v>615852.55000000005</v>
      </c>
      <c r="E20" s="12">
        <v>460978</v>
      </c>
      <c r="F20" s="12">
        <v>1076830.55</v>
      </c>
      <c r="G20" s="12">
        <f t="shared" si="0"/>
        <v>-615852.55000000005</v>
      </c>
      <c r="H20" s="12">
        <f t="shared" si="1"/>
        <v>0</v>
      </c>
      <c r="I20" s="8" t="s">
        <v>37</v>
      </c>
    </row>
    <row r="21" spans="2:9" x14ac:dyDescent="0.3">
      <c r="B21" s="15" t="s">
        <v>38</v>
      </c>
      <c r="C21" s="15" t="s">
        <v>39</v>
      </c>
      <c r="D21" s="16"/>
      <c r="E21" s="16"/>
      <c r="F21" s="16"/>
      <c r="G21" s="16"/>
      <c r="H21" s="16"/>
      <c r="I21" s="15"/>
    </row>
    <row r="22" spans="2:9" x14ac:dyDescent="0.3">
      <c r="B22" s="8" t="s">
        <v>40</v>
      </c>
      <c r="C22" s="8" t="s">
        <v>41</v>
      </c>
      <c r="D22" s="12">
        <v>24656</v>
      </c>
      <c r="E22" s="12">
        <v>0</v>
      </c>
      <c r="F22" s="12">
        <v>17000</v>
      </c>
      <c r="G22" s="12">
        <f t="shared" si="0"/>
        <v>-17000</v>
      </c>
      <c r="H22" s="12">
        <f t="shared" si="1"/>
        <v>7656</v>
      </c>
      <c r="I22" s="8" t="s">
        <v>42</v>
      </c>
    </row>
    <row r="23" spans="2:9" x14ac:dyDescent="0.3">
      <c r="B23" s="8" t="s">
        <v>43</v>
      </c>
      <c r="C23" s="8" t="s">
        <v>44</v>
      </c>
      <c r="D23" s="12">
        <v>0</v>
      </c>
      <c r="E23" s="12">
        <v>24840</v>
      </c>
      <c r="F23" s="12">
        <v>24840</v>
      </c>
      <c r="G23" s="12">
        <f t="shared" si="0"/>
        <v>0</v>
      </c>
      <c r="H23" s="12">
        <f t="shared" si="1"/>
        <v>0</v>
      </c>
      <c r="I23" s="8" t="s">
        <v>42</v>
      </c>
    </row>
    <row r="24" spans="2:9" x14ac:dyDescent="0.3">
      <c r="B24" s="8" t="s">
        <v>45</v>
      </c>
      <c r="C24" s="8" t="s">
        <v>46</v>
      </c>
      <c r="D24" s="12">
        <v>-0.44</v>
      </c>
      <c r="E24" s="12">
        <v>3190.1</v>
      </c>
      <c r="F24" s="12">
        <v>3190</v>
      </c>
      <c r="G24" s="12">
        <f t="shared" si="0"/>
        <v>9.9999999999909051E-2</v>
      </c>
      <c r="H24" s="12">
        <f t="shared" si="1"/>
        <v>-0.34000000000009095</v>
      </c>
      <c r="I24" s="8" t="s">
        <v>42</v>
      </c>
    </row>
    <row r="25" spans="2:9" x14ac:dyDescent="0.3">
      <c r="B25" s="8" t="s">
        <v>47</v>
      </c>
      <c r="C25" s="8" t="s">
        <v>48</v>
      </c>
      <c r="D25" s="12">
        <v>0</v>
      </c>
      <c r="E25" s="12">
        <v>5756</v>
      </c>
      <c r="F25" s="12">
        <v>2260</v>
      </c>
      <c r="G25" s="12">
        <f t="shared" si="0"/>
        <v>3496</v>
      </c>
      <c r="H25" s="12">
        <f t="shared" si="1"/>
        <v>3496</v>
      </c>
      <c r="I25" s="8" t="s">
        <v>42</v>
      </c>
    </row>
    <row r="26" spans="2:9" x14ac:dyDescent="0.3">
      <c r="B26" s="8" t="s">
        <v>445</v>
      </c>
      <c r="C26" s="8" t="s">
        <v>446</v>
      </c>
      <c r="D26" s="12">
        <v>0</v>
      </c>
      <c r="E26" s="12">
        <v>1998.98</v>
      </c>
      <c r="F26" s="12">
        <v>0</v>
      </c>
      <c r="G26" s="12">
        <f t="shared" si="0"/>
        <v>1998.98</v>
      </c>
      <c r="H26" s="12">
        <f t="shared" si="1"/>
        <v>1998.98</v>
      </c>
      <c r="I26" s="8" t="s">
        <v>42</v>
      </c>
    </row>
    <row r="27" spans="2:9" x14ac:dyDescent="0.3">
      <c r="B27" s="8" t="s">
        <v>49</v>
      </c>
      <c r="C27" s="8" t="s">
        <v>50</v>
      </c>
      <c r="D27" s="12">
        <v>9499</v>
      </c>
      <c r="E27" s="12">
        <v>5237.1000000000004</v>
      </c>
      <c r="F27" s="12">
        <v>9529</v>
      </c>
      <c r="G27" s="12">
        <f t="shared" si="0"/>
        <v>-4291.8999999999996</v>
      </c>
      <c r="H27" s="12">
        <f t="shared" si="1"/>
        <v>5207.1000000000004</v>
      </c>
      <c r="I27" s="8" t="s">
        <v>42</v>
      </c>
    </row>
    <row r="28" spans="2:9" x14ac:dyDescent="0.3">
      <c r="B28" s="8" t="s">
        <v>51</v>
      </c>
      <c r="C28" s="8" t="s">
        <v>52</v>
      </c>
      <c r="D28" s="12">
        <v>2925.2</v>
      </c>
      <c r="E28" s="12">
        <v>8864.75</v>
      </c>
      <c r="F28" s="12">
        <v>6610</v>
      </c>
      <c r="G28" s="12">
        <f t="shared" si="0"/>
        <v>2254.75</v>
      </c>
      <c r="H28" s="12">
        <f t="shared" si="1"/>
        <v>5179.95</v>
      </c>
      <c r="I28" s="8" t="s">
        <v>42</v>
      </c>
    </row>
    <row r="29" spans="2:9" x14ac:dyDescent="0.3">
      <c r="B29" s="8" t="s">
        <v>53</v>
      </c>
      <c r="C29" s="8" t="s">
        <v>54</v>
      </c>
      <c r="D29" s="12">
        <v>5685.6</v>
      </c>
      <c r="E29" s="12">
        <v>23886.080000000002</v>
      </c>
      <c r="F29" s="12">
        <v>17881.48</v>
      </c>
      <c r="G29" s="12">
        <f t="shared" si="0"/>
        <v>6004.6000000000022</v>
      </c>
      <c r="H29" s="12">
        <f t="shared" si="1"/>
        <v>11690.200000000003</v>
      </c>
      <c r="I29" s="8" t="s">
        <v>42</v>
      </c>
    </row>
    <row r="30" spans="2:9" x14ac:dyDescent="0.3">
      <c r="B30" s="8" t="s">
        <v>55</v>
      </c>
      <c r="C30" s="8" t="s">
        <v>56</v>
      </c>
      <c r="D30" s="12">
        <v>124246.8</v>
      </c>
      <c r="E30" s="12">
        <v>27427.5</v>
      </c>
      <c r="F30" s="12">
        <v>75000</v>
      </c>
      <c r="G30" s="12">
        <f t="shared" si="0"/>
        <v>-47572.5</v>
      </c>
      <c r="H30" s="12">
        <f t="shared" si="1"/>
        <v>76674.3</v>
      </c>
      <c r="I30" s="8" t="s">
        <v>42</v>
      </c>
    </row>
    <row r="31" spans="2:9" x14ac:dyDescent="0.3">
      <c r="B31" s="8" t="s">
        <v>447</v>
      </c>
      <c r="C31" s="8" t="s">
        <v>448</v>
      </c>
      <c r="D31" s="12">
        <v>0</v>
      </c>
      <c r="E31" s="12">
        <v>13086.31</v>
      </c>
      <c r="F31" s="12">
        <v>0</v>
      </c>
      <c r="G31" s="12">
        <f t="shared" si="0"/>
        <v>13086.31</v>
      </c>
      <c r="H31" s="12">
        <f t="shared" si="1"/>
        <v>13086.31</v>
      </c>
      <c r="I31" s="8" t="s">
        <v>42</v>
      </c>
    </row>
    <row r="32" spans="2:9" x14ac:dyDescent="0.3">
      <c r="B32" s="8" t="s">
        <v>57</v>
      </c>
      <c r="C32" s="8" t="s">
        <v>58</v>
      </c>
      <c r="D32" s="12">
        <v>-2040</v>
      </c>
      <c r="E32" s="12">
        <v>0</v>
      </c>
      <c r="F32" s="12">
        <v>4840</v>
      </c>
      <c r="G32" s="12">
        <f t="shared" si="0"/>
        <v>-4840</v>
      </c>
      <c r="H32" s="12">
        <f t="shared" si="1"/>
        <v>-6880</v>
      </c>
      <c r="I32" s="8" t="s">
        <v>42</v>
      </c>
    </row>
    <row r="33" spans="2:9" x14ac:dyDescent="0.3">
      <c r="B33" s="8" t="s">
        <v>449</v>
      </c>
      <c r="C33" s="8" t="s">
        <v>450</v>
      </c>
      <c r="D33" s="12">
        <v>0</v>
      </c>
      <c r="E33" s="12">
        <v>5981.95</v>
      </c>
      <c r="F33" s="12">
        <v>5347</v>
      </c>
      <c r="G33" s="12">
        <f t="shared" si="0"/>
        <v>634.94999999999982</v>
      </c>
      <c r="H33" s="12">
        <f t="shared" si="1"/>
        <v>634.94999999999982</v>
      </c>
      <c r="I33" s="8" t="s">
        <v>42</v>
      </c>
    </row>
    <row r="34" spans="2:9" x14ac:dyDescent="0.3">
      <c r="B34" s="8" t="s">
        <v>61</v>
      </c>
      <c r="C34" s="8" t="s">
        <v>62</v>
      </c>
      <c r="D34" s="12">
        <v>49737.5</v>
      </c>
      <c r="E34" s="12">
        <v>57500</v>
      </c>
      <c r="F34" s="12">
        <v>107220.63</v>
      </c>
      <c r="G34" s="12">
        <f t="shared" si="0"/>
        <v>-49720.630000000005</v>
      </c>
      <c r="H34" s="12">
        <f t="shared" si="1"/>
        <v>16.869999999995343</v>
      </c>
      <c r="I34" s="8" t="s">
        <v>42</v>
      </c>
    </row>
    <row r="35" spans="2:9" x14ac:dyDescent="0.3">
      <c r="B35" s="8" t="s">
        <v>451</v>
      </c>
      <c r="C35" s="8" t="s">
        <v>452</v>
      </c>
      <c r="D35" s="12">
        <v>0</v>
      </c>
      <c r="E35" s="12">
        <v>5890.58</v>
      </c>
      <c r="F35" s="12">
        <v>0</v>
      </c>
      <c r="G35" s="12">
        <f t="shared" si="0"/>
        <v>5890.58</v>
      </c>
      <c r="H35" s="12">
        <f t="shared" si="1"/>
        <v>5890.58</v>
      </c>
      <c r="I35" s="8" t="s">
        <v>42</v>
      </c>
    </row>
    <row r="36" spans="2:9" x14ac:dyDescent="0.3">
      <c r="B36" s="8" t="s">
        <v>453</v>
      </c>
      <c r="C36" s="8" t="s">
        <v>454</v>
      </c>
      <c r="D36" s="12">
        <v>0</v>
      </c>
      <c r="E36" s="12">
        <v>251780.95</v>
      </c>
      <c r="F36" s="12">
        <v>0</v>
      </c>
      <c r="G36" s="12">
        <f t="shared" si="0"/>
        <v>251780.95</v>
      </c>
      <c r="H36" s="12">
        <f t="shared" si="1"/>
        <v>251780.95</v>
      </c>
      <c r="I36" s="8" t="s">
        <v>42</v>
      </c>
    </row>
    <row r="37" spans="2:9" x14ac:dyDescent="0.3">
      <c r="B37" s="8" t="s">
        <v>455</v>
      </c>
      <c r="C37" s="8" t="s">
        <v>456</v>
      </c>
      <c r="D37" s="12">
        <v>0</v>
      </c>
      <c r="E37" s="12">
        <v>655.5</v>
      </c>
      <c r="F37" s="12">
        <v>0</v>
      </c>
      <c r="G37" s="12">
        <f t="shared" si="0"/>
        <v>655.5</v>
      </c>
      <c r="H37" s="12">
        <f t="shared" si="1"/>
        <v>655.5</v>
      </c>
      <c r="I37" s="8" t="s">
        <v>42</v>
      </c>
    </row>
    <row r="38" spans="2:9" x14ac:dyDescent="0.3">
      <c r="B38" s="8" t="s">
        <v>63</v>
      </c>
      <c r="C38" s="8" t="s">
        <v>64</v>
      </c>
      <c r="D38" s="12">
        <v>45652.12</v>
      </c>
      <c r="E38" s="12">
        <v>26263.13</v>
      </c>
      <c r="F38" s="12">
        <v>45652.13</v>
      </c>
      <c r="G38" s="12">
        <f t="shared" si="0"/>
        <v>-19388.999999999996</v>
      </c>
      <c r="H38" s="12">
        <f t="shared" si="1"/>
        <v>26263.120000000006</v>
      </c>
      <c r="I38" s="8" t="s">
        <v>42</v>
      </c>
    </row>
    <row r="39" spans="2:9" x14ac:dyDescent="0.3">
      <c r="B39" s="8" t="s">
        <v>65</v>
      </c>
      <c r="C39" s="8" t="s">
        <v>66</v>
      </c>
      <c r="D39" s="12">
        <v>28491.1</v>
      </c>
      <c r="E39" s="12">
        <v>59979.4</v>
      </c>
      <c r="F39" s="12">
        <v>58491</v>
      </c>
      <c r="G39" s="12">
        <f t="shared" si="0"/>
        <v>1488.4000000000015</v>
      </c>
      <c r="H39" s="12">
        <f t="shared" si="1"/>
        <v>29979.5</v>
      </c>
      <c r="I39" s="8" t="s">
        <v>42</v>
      </c>
    </row>
    <row r="40" spans="2:9" x14ac:dyDescent="0.3">
      <c r="B40" s="8" t="s">
        <v>457</v>
      </c>
      <c r="C40" s="8" t="s">
        <v>458</v>
      </c>
      <c r="D40" s="12">
        <v>0</v>
      </c>
      <c r="E40" s="12">
        <v>481.75</v>
      </c>
      <c r="F40" s="12">
        <v>0</v>
      </c>
      <c r="G40" s="12">
        <f t="shared" si="0"/>
        <v>481.75</v>
      </c>
      <c r="H40" s="12">
        <f t="shared" si="1"/>
        <v>481.75</v>
      </c>
      <c r="I40" s="8" t="s">
        <v>42</v>
      </c>
    </row>
    <row r="41" spans="2:9" x14ac:dyDescent="0.3">
      <c r="B41" s="8" t="s">
        <v>67</v>
      </c>
      <c r="C41" s="8" t="s">
        <v>68</v>
      </c>
      <c r="D41" s="12">
        <v>185633.45</v>
      </c>
      <c r="E41" s="12">
        <v>152941.49</v>
      </c>
      <c r="F41" s="12">
        <v>0</v>
      </c>
      <c r="G41" s="12">
        <f t="shared" si="0"/>
        <v>152941.49</v>
      </c>
      <c r="H41" s="12">
        <f t="shared" si="1"/>
        <v>338574.94</v>
      </c>
      <c r="I41" s="8" t="s">
        <v>42</v>
      </c>
    </row>
    <row r="42" spans="2:9" x14ac:dyDescent="0.3">
      <c r="B42" s="8" t="s">
        <v>69</v>
      </c>
      <c r="C42" s="8" t="s">
        <v>70</v>
      </c>
      <c r="D42" s="12">
        <v>32071.8</v>
      </c>
      <c r="E42" s="12">
        <v>22218</v>
      </c>
      <c r="F42" s="12">
        <v>54288</v>
      </c>
      <c r="G42" s="12">
        <f t="shared" si="0"/>
        <v>-32070</v>
      </c>
      <c r="H42" s="12">
        <f t="shared" si="1"/>
        <v>1.7999999999992724</v>
      </c>
      <c r="I42" s="8" t="s">
        <v>42</v>
      </c>
    </row>
    <row r="43" spans="2:9" x14ac:dyDescent="0.3">
      <c r="B43" s="8" t="s">
        <v>71</v>
      </c>
      <c r="C43" s="8" t="s">
        <v>72</v>
      </c>
      <c r="D43" s="12">
        <v>0.34</v>
      </c>
      <c r="E43" s="12">
        <v>6268.31</v>
      </c>
      <c r="F43" s="12">
        <v>6269</v>
      </c>
      <c r="G43" s="12">
        <f t="shared" si="0"/>
        <v>-0.68999999999959982</v>
      </c>
      <c r="H43" s="12">
        <f t="shared" si="1"/>
        <v>-0.3499999999995998</v>
      </c>
      <c r="I43" s="8" t="s">
        <v>42</v>
      </c>
    </row>
    <row r="44" spans="2:9" x14ac:dyDescent="0.3">
      <c r="B44" s="8" t="s">
        <v>73</v>
      </c>
      <c r="C44" s="8" t="s">
        <v>74</v>
      </c>
      <c r="D44" s="12">
        <v>0</v>
      </c>
      <c r="E44" s="12">
        <v>128138.75</v>
      </c>
      <c r="F44" s="12">
        <v>128138</v>
      </c>
      <c r="G44" s="12">
        <f t="shared" si="0"/>
        <v>0.75</v>
      </c>
      <c r="H44" s="12">
        <f t="shared" si="1"/>
        <v>0.75</v>
      </c>
      <c r="I44" s="8" t="s">
        <v>42</v>
      </c>
    </row>
    <row r="45" spans="2:9" x14ac:dyDescent="0.3">
      <c r="B45" s="8" t="s">
        <v>75</v>
      </c>
      <c r="C45" s="8" t="s">
        <v>76</v>
      </c>
      <c r="D45" s="12">
        <v>14052.65</v>
      </c>
      <c r="E45" s="12">
        <v>36230.51</v>
      </c>
      <c r="F45" s="12">
        <v>33269</v>
      </c>
      <c r="G45" s="12">
        <f t="shared" si="0"/>
        <v>2961.510000000002</v>
      </c>
      <c r="H45" s="12">
        <f t="shared" si="1"/>
        <v>17014.160000000003</v>
      </c>
      <c r="I45" s="8" t="s">
        <v>42</v>
      </c>
    </row>
    <row r="46" spans="2:9" x14ac:dyDescent="0.3">
      <c r="B46" s="8" t="s">
        <v>77</v>
      </c>
      <c r="C46" s="8" t="s">
        <v>78</v>
      </c>
      <c r="D46" s="12">
        <v>0</v>
      </c>
      <c r="E46" s="12">
        <v>15824</v>
      </c>
      <c r="F46" s="12">
        <v>15824</v>
      </c>
      <c r="G46" s="12">
        <f t="shared" si="0"/>
        <v>0</v>
      </c>
      <c r="H46" s="12">
        <f t="shared" si="1"/>
        <v>0</v>
      </c>
      <c r="I46" s="8" t="s">
        <v>42</v>
      </c>
    </row>
    <row r="47" spans="2:9" x14ac:dyDescent="0.3">
      <c r="B47" s="8" t="s">
        <v>79</v>
      </c>
      <c r="C47" s="8" t="s">
        <v>80</v>
      </c>
      <c r="D47" s="12">
        <v>0</v>
      </c>
      <c r="E47" s="12">
        <v>13289.4</v>
      </c>
      <c r="F47" s="12">
        <v>6000</v>
      </c>
      <c r="G47" s="12">
        <f t="shared" si="0"/>
        <v>7289.4</v>
      </c>
      <c r="H47" s="12">
        <f t="shared" si="1"/>
        <v>7289.4</v>
      </c>
      <c r="I47" s="8" t="s">
        <v>42</v>
      </c>
    </row>
    <row r="48" spans="2:9" x14ac:dyDescent="0.3">
      <c r="B48" s="8" t="s">
        <v>81</v>
      </c>
      <c r="C48" s="8" t="s">
        <v>82</v>
      </c>
      <c r="D48" s="12">
        <v>4473.8500000000004</v>
      </c>
      <c r="E48" s="12">
        <v>0</v>
      </c>
      <c r="F48" s="12">
        <v>0</v>
      </c>
      <c r="G48" s="12">
        <f t="shared" si="0"/>
        <v>0</v>
      </c>
      <c r="H48" s="12">
        <f t="shared" si="1"/>
        <v>4473.8500000000004</v>
      </c>
      <c r="I48" s="8" t="s">
        <v>42</v>
      </c>
    </row>
    <row r="49" spans="2:9" x14ac:dyDescent="0.3">
      <c r="B49" s="8" t="s">
        <v>83</v>
      </c>
      <c r="C49" s="8" t="s">
        <v>84</v>
      </c>
      <c r="D49" s="12">
        <v>24170.93</v>
      </c>
      <c r="E49" s="12">
        <v>85676.479999999996</v>
      </c>
      <c r="F49" s="12">
        <v>4025</v>
      </c>
      <c r="G49" s="12">
        <f t="shared" si="0"/>
        <v>81651.48</v>
      </c>
      <c r="H49" s="12">
        <f t="shared" si="1"/>
        <v>105822.41</v>
      </c>
      <c r="I49" s="8" t="s">
        <v>42</v>
      </c>
    </row>
    <row r="50" spans="2:9" x14ac:dyDescent="0.3">
      <c r="B50" s="8" t="s">
        <v>85</v>
      </c>
      <c r="C50" s="8" t="s">
        <v>86</v>
      </c>
      <c r="D50" s="12">
        <v>163490.59</v>
      </c>
      <c r="E50" s="12">
        <v>121383.39</v>
      </c>
      <c r="F50" s="12">
        <v>216272.96</v>
      </c>
      <c r="G50" s="12">
        <f t="shared" si="0"/>
        <v>-94889.569999999992</v>
      </c>
      <c r="H50" s="12">
        <f t="shared" si="1"/>
        <v>68601.02</v>
      </c>
      <c r="I50" s="8" t="s">
        <v>42</v>
      </c>
    </row>
    <row r="51" spans="2:9" x14ac:dyDescent="0.3">
      <c r="B51" s="8" t="s">
        <v>87</v>
      </c>
      <c r="C51" s="8" t="s">
        <v>88</v>
      </c>
      <c r="D51" s="12">
        <v>2955</v>
      </c>
      <c r="E51" s="12">
        <v>0</v>
      </c>
      <c r="F51" s="12">
        <v>2954.32</v>
      </c>
      <c r="G51" s="12">
        <f t="shared" si="0"/>
        <v>-2954.32</v>
      </c>
      <c r="H51" s="12">
        <f t="shared" si="1"/>
        <v>0.67999999999983629</v>
      </c>
      <c r="I51" s="8" t="s">
        <v>42</v>
      </c>
    </row>
    <row r="52" spans="2:9" x14ac:dyDescent="0.3">
      <c r="B52" s="8" t="s">
        <v>89</v>
      </c>
      <c r="C52" s="8" t="s">
        <v>90</v>
      </c>
      <c r="D52" s="12">
        <v>66083.16</v>
      </c>
      <c r="E52" s="12">
        <v>435666.54</v>
      </c>
      <c r="F52" s="12">
        <v>385745</v>
      </c>
      <c r="G52" s="12">
        <f t="shared" si="0"/>
        <v>49921.539999999979</v>
      </c>
      <c r="H52" s="12">
        <f t="shared" si="1"/>
        <v>116004.69999999998</v>
      </c>
      <c r="I52" s="8" t="s">
        <v>42</v>
      </c>
    </row>
    <row r="53" spans="2:9" x14ac:dyDescent="0.3">
      <c r="B53" s="8" t="s">
        <v>91</v>
      </c>
      <c r="C53" s="8" t="s">
        <v>92</v>
      </c>
      <c r="D53" s="12">
        <v>33575.4</v>
      </c>
      <c r="E53" s="12">
        <v>16560</v>
      </c>
      <c r="F53" s="12">
        <v>26895.200000000001</v>
      </c>
      <c r="G53" s="12">
        <f t="shared" si="0"/>
        <v>-10335.200000000001</v>
      </c>
      <c r="H53" s="12">
        <f t="shared" si="1"/>
        <v>23240.2</v>
      </c>
      <c r="I53" s="8" t="s">
        <v>42</v>
      </c>
    </row>
    <row r="54" spans="2:9" x14ac:dyDescent="0.3">
      <c r="B54" s="8" t="s">
        <v>93</v>
      </c>
      <c r="C54" s="8" t="s">
        <v>94</v>
      </c>
      <c r="D54" s="12">
        <v>12004</v>
      </c>
      <c r="E54" s="12">
        <v>42136.23</v>
      </c>
      <c r="F54" s="12">
        <v>35000</v>
      </c>
      <c r="G54" s="12">
        <f t="shared" si="0"/>
        <v>7136.2300000000032</v>
      </c>
      <c r="H54" s="12">
        <f t="shared" si="1"/>
        <v>19140.230000000003</v>
      </c>
      <c r="I54" s="8" t="s">
        <v>42</v>
      </c>
    </row>
    <row r="55" spans="2:9" x14ac:dyDescent="0.3">
      <c r="B55" s="8" t="s">
        <v>97</v>
      </c>
      <c r="C55" s="8" t="s">
        <v>98</v>
      </c>
      <c r="D55" s="12">
        <v>77701.009999999995</v>
      </c>
      <c r="E55" s="12">
        <v>88183.86</v>
      </c>
      <c r="F55" s="12">
        <v>75000</v>
      </c>
      <c r="G55" s="12">
        <f t="shared" si="0"/>
        <v>13183.86</v>
      </c>
      <c r="H55" s="12">
        <f t="shared" si="1"/>
        <v>90884.87</v>
      </c>
      <c r="I55" s="8" t="s">
        <v>42</v>
      </c>
    </row>
    <row r="56" spans="2:9" x14ac:dyDescent="0.3">
      <c r="B56" s="8" t="s">
        <v>459</v>
      </c>
      <c r="C56" s="8" t="s">
        <v>460</v>
      </c>
      <c r="D56" s="12">
        <v>0</v>
      </c>
      <c r="E56" s="12">
        <v>7232.93</v>
      </c>
      <c r="F56" s="12">
        <v>0</v>
      </c>
      <c r="G56" s="12">
        <f t="shared" si="0"/>
        <v>7232.93</v>
      </c>
      <c r="H56" s="12">
        <f t="shared" si="1"/>
        <v>7232.93</v>
      </c>
      <c r="I56" s="8" t="s">
        <v>42</v>
      </c>
    </row>
    <row r="57" spans="2:9" x14ac:dyDescent="0.3">
      <c r="B57" s="8" t="s">
        <v>99</v>
      </c>
      <c r="C57" s="8" t="s">
        <v>100</v>
      </c>
      <c r="D57" s="12">
        <v>4525.83</v>
      </c>
      <c r="E57" s="12">
        <v>64343.65</v>
      </c>
      <c r="F57" s="12">
        <v>23228.400000000001</v>
      </c>
      <c r="G57" s="12">
        <f t="shared" si="0"/>
        <v>41115.25</v>
      </c>
      <c r="H57" s="12">
        <f t="shared" si="1"/>
        <v>45641.08</v>
      </c>
      <c r="I57" s="8" t="s">
        <v>42</v>
      </c>
    </row>
    <row r="58" spans="2:9" x14ac:dyDescent="0.3">
      <c r="B58" s="8" t="s">
        <v>461</v>
      </c>
      <c r="C58" s="8" t="s">
        <v>462</v>
      </c>
      <c r="D58" s="12">
        <v>0</v>
      </c>
      <c r="E58" s="12">
        <v>5774.65</v>
      </c>
      <c r="F58" s="12">
        <v>0</v>
      </c>
      <c r="G58" s="12">
        <f t="shared" si="0"/>
        <v>5774.65</v>
      </c>
      <c r="H58" s="12">
        <f t="shared" si="1"/>
        <v>5774.65</v>
      </c>
      <c r="I58" s="8" t="s">
        <v>42</v>
      </c>
    </row>
    <row r="59" spans="2:9" x14ac:dyDescent="0.3">
      <c r="B59" s="8" t="s">
        <v>103</v>
      </c>
      <c r="C59" s="8" t="s">
        <v>104</v>
      </c>
      <c r="D59" s="12">
        <v>-951.2</v>
      </c>
      <c r="E59" s="12">
        <v>17868.939999999999</v>
      </c>
      <c r="F59" s="12">
        <v>2345.67</v>
      </c>
      <c r="G59" s="12">
        <f t="shared" si="0"/>
        <v>15523.269999999999</v>
      </c>
      <c r="H59" s="12">
        <f t="shared" si="1"/>
        <v>14572.069999999998</v>
      </c>
      <c r="I59" s="8" t="s">
        <v>42</v>
      </c>
    </row>
    <row r="60" spans="2:9" x14ac:dyDescent="0.3">
      <c r="B60" s="8" t="s">
        <v>105</v>
      </c>
      <c r="C60" s="8" t="s">
        <v>106</v>
      </c>
      <c r="D60" s="12">
        <v>0.2</v>
      </c>
      <c r="E60" s="12">
        <v>1179.9000000000001</v>
      </c>
      <c r="F60" s="12">
        <v>1180</v>
      </c>
      <c r="G60" s="12">
        <f t="shared" si="0"/>
        <v>-9.9999999999909051E-2</v>
      </c>
      <c r="H60" s="12">
        <f t="shared" si="1"/>
        <v>0.10000000000009096</v>
      </c>
      <c r="I60" s="8" t="s">
        <v>42</v>
      </c>
    </row>
    <row r="61" spans="2:9" x14ac:dyDescent="0.3">
      <c r="B61" s="8" t="s">
        <v>463</v>
      </c>
      <c r="C61" s="8" t="s">
        <v>464</v>
      </c>
      <c r="D61" s="12">
        <v>0</v>
      </c>
      <c r="E61" s="12">
        <v>1012</v>
      </c>
      <c r="F61" s="12">
        <v>1012</v>
      </c>
      <c r="G61" s="12">
        <f t="shared" si="0"/>
        <v>0</v>
      </c>
      <c r="H61" s="12">
        <f t="shared" si="1"/>
        <v>0</v>
      </c>
      <c r="I61" s="8" t="s">
        <v>42</v>
      </c>
    </row>
    <row r="62" spans="2:9" x14ac:dyDescent="0.3">
      <c r="B62" s="8" t="s">
        <v>107</v>
      </c>
      <c r="C62" s="8" t="s">
        <v>108</v>
      </c>
      <c r="D62" s="12">
        <v>32460.3</v>
      </c>
      <c r="E62" s="12">
        <v>23078.2</v>
      </c>
      <c r="F62" s="12">
        <v>55538</v>
      </c>
      <c r="G62" s="12">
        <f t="shared" si="0"/>
        <v>-32459.8</v>
      </c>
      <c r="H62" s="12">
        <f t="shared" si="1"/>
        <v>0.5</v>
      </c>
      <c r="I62" s="8" t="s">
        <v>42</v>
      </c>
    </row>
    <row r="63" spans="2:9" x14ac:dyDescent="0.3">
      <c r="B63" s="8" t="s">
        <v>109</v>
      </c>
      <c r="C63" s="8" t="s">
        <v>110</v>
      </c>
      <c r="D63" s="12">
        <v>917.7</v>
      </c>
      <c r="E63" s="12">
        <v>110.4</v>
      </c>
      <c r="F63" s="12">
        <v>0</v>
      </c>
      <c r="G63" s="12">
        <f t="shared" si="0"/>
        <v>110.4</v>
      </c>
      <c r="H63" s="12">
        <f t="shared" si="1"/>
        <v>1028.1000000000001</v>
      </c>
      <c r="I63" s="8" t="s">
        <v>42</v>
      </c>
    </row>
    <row r="64" spans="2:9" x14ac:dyDescent="0.3">
      <c r="B64" s="8" t="s">
        <v>111</v>
      </c>
      <c r="C64" s="8" t="s">
        <v>112</v>
      </c>
      <c r="D64" s="12">
        <v>34296</v>
      </c>
      <c r="E64" s="12">
        <v>51379.21</v>
      </c>
      <c r="F64" s="12">
        <v>92733.2</v>
      </c>
      <c r="G64" s="12">
        <f t="shared" si="0"/>
        <v>-41353.99</v>
      </c>
      <c r="H64" s="12">
        <f t="shared" si="1"/>
        <v>-7057.989999999998</v>
      </c>
      <c r="I64" s="8" t="s">
        <v>42</v>
      </c>
    </row>
    <row r="65" spans="2:9" x14ac:dyDescent="0.3">
      <c r="B65" s="8" t="s">
        <v>113</v>
      </c>
      <c r="C65" s="8" t="s">
        <v>114</v>
      </c>
      <c r="D65" s="12">
        <v>27657.5</v>
      </c>
      <c r="E65" s="12">
        <v>53503.75</v>
      </c>
      <c r="F65" s="12">
        <v>73785.75</v>
      </c>
      <c r="G65" s="12">
        <f t="shared" si="0"/>
        <v>-20282</v>
      </c>
      <c r="H65" s="12">
        <f t="shared" si="1"/>
        <v>7375.5</v>
      </c>
      <c r="I65" s="8" t="s">
        <v>42</v>
      </c>
    </row>
    <row r="66" spans="2:9" x14ac:dyDescent="0.3">
      <c r="B66" s="8" t="s">
        <v>465</v>
      </c>
      <c r="C66" s="8" t="s">
        <v>466</v>
      </c>
      <c r="D66" s="12">
        <v>0</v>
      </c>
      <c r="E66" s="12">
        <v>59943.75</v>
      </c>
      <c r="F66" s="12">
        <v>50686.25</v>
      </c>
      <c r="G66" s="12">
        <f t="shared" si="0"/>
        <v>9257.5</v>
      </c>
      <c r="H66" s="12">
        <f t="shared" si="1"/>
        <v>9257.5</v>
      </c>
      <c r="I66" s="8" t="s">
        <v>42</v>
      </c>
    </row>
    <row r="67" spans="2:9" x14ac:dyDescent="0.3">
      <c r="B67" s="15" t="s">
        <v>115</v>
      </c>
      <c r="C67" s="15" t="s">
        <v>116</v>
      </c>
      <c r="D67" s="16"/>
      <c r="E67" s="16"/>
      <c r="F67" s="16"/>
      <c r="G67" s="16"/>
      <c r="H67" s="16"/>
      <c r="I67" s="15"/>
    </row>
    <row r="68" spans="2:9" x14ac:dyDescent="0.3">
      <c r="B68" s="8" t="s">
        <v>117</v>
      </c>
      <c r="C68" s="8" t="s">
        <v>118</v>
      </c>
      <c r="D68" s="12">
        <v>0</v>
      </c>
      <c r="E68" s="12">
        <v>202879.64</v>
      </c>
      <c r="F68" s="12">
        <v>202879.63</v>
      </c>
      <c r="G68" s="12">
        <f t="shared" si="0"/>
        <v>1.0000000009313226E-2</v>
      </c>
      <c r="H68" s="12">
        <f t="shared" si="1"/>
        <v>1.0000000009313226E-2</v>
      </c>
      <c r="I68" s="8" t="s">
        <v>119</v>
      </c>
    </row>
    <row r="69" spans="2:9" x14ac:dyDescent="0.3">
      <c r="B69" s="8" t="s">
        <v>120</v>
      </c>
      <c r="C69" s="8" t="s">
        <v>121</v>
      </c>
      <c r="D69" s="12">
        <v>0</v>
      </c>
      <c r="E69" s="12">
        <v>185526.34</v>
      </c>
      <c r="F69" s="12">
        <v>185526.34</v>
      </c>
      <c r="G69" s="12">
        <f t="shared" si="0"/>
        <v>0</v>
      </c>
      <c r="H69" s="12">
        <f t="shared" si="1"/>
        <v>0</v>
      </c>
      <c r="I69" s="8" t="s">
        <v>119</v>
      </c>
    </row>
    <row r="70" spans="2:9" x14ac:dyDescent="0.3">
      <c r="B70" s="8" t="s">
        <v>122</v>
      </c>
      <c r="C70" s="8" t="s">
        <v>123</v>
      </c>
      <c r="D70" s="12">
        <v>-141500.87</v>
      </c>
      <c r="E70" s="12">
        <v>159260.85</v>
      </c>
      <c r="F70" s="12">
        <v>406.69</v>
      </c>
      <c r="G70" s="12">
        <f t="shared" si="0"/>
        <v>158854.16</v>
      </c>
      <c r="H70" s="12">
        <f t="shared" si="1"/>
        <v>17353.290000000008</v>
      </c>
      <c r="I70" s="8" t="s">
        <v>119</v>
      </c>
    </row>
    <row r="71" spans="2:9" x14ac:dyDescent="0.3">
      <c r="B71" s="8" t="s">
        <v>124</v>
      </c>
      <c r="C71" s="8" t="s">
        <v>125</v>
      </c>
      <c r="D71" s="12">
        <v>1713.48</v>
      </c>
      <c r="E71" s="12">
        <v>13.05</v>
      </c>
      <c r="F71" s="12">
        <v>1553.88</v>
      </c>
      <c r="G71" s="12">
        <f t="shared" si="0"/>
        <v>-1540.8300000000002</v>
      </c>
      <c r="H71" s="12">
        <f t="shared" si="1"/>
        <v>172.64999999999986</v>
      </c>
      <c r="I71" s="8" t="s">
        <v>119</v>
      </c>
    </row>
    <row r="72" spans="2:9" x14ac:dyDescent="0.3">
      <c r="B72" s="15" t="s">
        <v>126</v>
      </c>
      <c r="C72" s="15" t="s">
        <v>127</v>
      </c>
      <c r="D72" s="16"/>
      <c r="E72" s="16"/>
      <c r="F72" s="16"/>
      <c r="G72" s="16"/>
      <c r="H72" s="16"/>
      <c r="I72" s="15"/>
    </row>
    <row r="73" spans="2:9" x14ac:dyDescent="0.3">
      <c r="B73" s="8" t="s">
        <v>128</v>
      </c>
      <c r="C73" s="8" t="s">
        <v>129</v>
      </c>
      <c r="D73" s="12">
        <v>-12546</v>
      </c>
      <c r="E73" s="12">
        <v>93143.05</v>
      </c>
      <c r="F73" s="12">
        <v>12546</v>
      </c>
      <c r="G73" s="12">
        <f t="shared" ref="G73:G136" si="2">E73-F73</f>
        <v>80597.05</v>
      </c>
      <c r="H73" s="12">
        <f t="shared" ref="H73:H136" si="3">D73+G73</f>
        <v>68051.05</v>
      </c>
      <c r="I73" s="8" t="s">
        <v>130</v>
      </c>
    </row>
    <row r="74" spans="2:9" x14ac:dyDescent="0.3">
      <c r="B74" s="8" t="s">
        <v>131</v>
      </c>
      <c r="C74" s="8" t="s">
        <v>132</v>
      </c>
      <c r="D74" s="12">
        <v>186025.46</v>
      </c>
      <c r="E74" s="12">
        <v>0</v>
      </c>
      <c r="F74" s="12">
        <v>0</v>
      </c>
      <c r="G74" s="12">
        <f t="shared" si="2"/>
        <v>0</v>
      </c>
      <c r="H74" s="12">
        <f t="shared" si="3"/>
        <v>186025.46</v>
      </c>
      <c r="I74" s="8" t="s">
        <v>130</v>
      </c>
    </row>
    <row r="75" spans="2:9" x14ac:dyDescent="0.3">
      <c r="B75" s="8" t="s">
        <v>467</v>
      </c>
      <c r="C75" s="8" t="s">
        <v>468</v>
      </c>
      <c r="D75" s="12">
        <v>0</v>
      </c>
      <c r="E75" s="12">
        <v>10843.87</v>
      </c>
      <c r="F75" s="12">
        <v>985.8</v>
      </c>
      <c r="G75" s="12">
        <f t="shared" si="2"/>
        <v>9858.0700000000015</v>
      </c>
      <c r="H75" s="12">
        <f t="shared" si="3"/>
        <v>9858.0700000000015</v>
      </c>
      <c r="I75" s="8" t="s">
        <v>130</v>
      </c>
    </row>
    <row r="76" spans="2:9" x14ac:dyDescent="0.3">
      <c r="B76" s="8" t="s">
        <v>133</v>
      </c>
      <c r="C76" s="8" t="s">
        <v>134</v>
      </c>
      <c r="D76" s="12">
        <v>-15502.11</v>
      </c>
      <c r="E76" s="12">
        <v>0</v>
      </c>
      <c r="F76" s="12">
        <v>15502.11</v>
      </c>
      <c r="G76" s="12">
        <f t="shared" si="2"/>
        <v>-15502.11</v>
      </c>
      <c r="H76" s="12">
        <f t="shared" si="3"/>
        <v>-31004.22</v>
      </c>
      <c r="I76" s="8" t="s">
        <v>130</v>
      </c>
    </row>
    <row r="77" spans="2:9" x14ac:dyDescent="0.3">
      <c r="B77" s="8" t="s">
        <v>135</v>
      </c>
      <c r="C77" s="8" t="s">
        <v>136</v>
      </c>
      <c r="D77" s="12">
        <v>-2700.46</v>
      </c>
      <c r="E77" s="12">
        <v>0</v>
      </c>
      <c r="F77" s="12">
        <v>2035.17</v>
      </c>
      <c r="G77" s="12">
        <f t="shared" si="2"/>
        <v>-2035.17</v>
      </c>
      <c r="H77" s="12">
        <f t="shared" si="3"/>
        <v>-4735.63</v>
      </c>
      <c r="I77" s="8" t="s">
        <v>130</v>
      </c>
    </row>
    <row r="78" spans="2:9" x14ac:dyDescent="0.3">
      <c r="B78" s="15" t="s">
        <v>137</v>
      </c>
      <c r="C78" s="15" t="s">
        <v>138</v>
      </c>
      <c r="D78" s="16"/>
      <c r="E78" s="16"/>
      <c r="F78" s="16"/>
      <c r="G78" s="16"/>
      <c r="H78" s="16"/>
      <c r="I78" s="15"/>
    </row>
    <row r="79" spans="2:9" x14ac:dyDescent="0.3">
      <c r="B79" s="8" t="s">
        <v>469</v>
      </c>
      <c r="C79" s="8" t="s">
        <v>470</v>
      </c>
      <c r="D79" s="12">
        <v>0</v>
      </c>
      <c r="E79" s="12">
        <v>3000</v>
      </c>
      <c r="F79" s="12">
        <v>535</v>
      </c>
      <c r="G79" s="12">
        <f t="shared" si="2"/>
        <v>2465</v>
      </c>
      <c r="H79" s="12">
        <f t="shared" si="3"/>
        <v>2465</v>
      </c>
      <c r="I79" s="8" t="s">
        <v>141</v>
      </c>
    </row>
    <row r="80" spans="2:9" x14ac:dyDescent="0.3">
      <c r="B80" s="8" t="s">
        <v>471</v>
      </c>
      <c r="C80" s="8" t="s">
        <v>472</v>
      </c>
      <c r="D80" s="12">
        <v>0</v>
      </c>
      <c r="E80" s="12">
        <v>124996.54</v>
      </c>
      <c r="F80" s="12">
        <v>0</v>
      </c>
      <c r="G80" s="12">
        <f t="shared" si="2"/>
        <v>124996.54</v>
      </c>
      <c r="H80" s="12">
        <f t="shared" si="3"/>
        <v>124996.54</v>
      </c>
      <c r="I80" s="8" t="s">
        <v>141</v>
      </c>
    </row>
    <row r="81" spans="2:9" x14ac:dyDescent="0.3">
      <c r="B81" s="8" t="s">
        <v>473</v>
      </c>
      <c r="C81" s="8" t="s">
        <v>474</v>
      </c>
      <c r="D81" s="12">
        <v>0</v>
      </c>
      <c r="E81" s="12">
        <v>104098.21</v>
      </c>
      <c r="F81" s="12">
        <v>0</v>
      </c>
      <c r="G81" s="12">
        <f t="shared" si="2"/>
        <v>104098.21</v>
      </c>
      <c r="H81" s="12">
        <f t="shared" si="3"/>
        <v>104098.21</v>
      </c>
      <c r="I81" s="8" t="s">
        <v>141</v>
      </c>
    </row>
    <row r="82" spans="2:9" x14ac:dyDescent="0.3">
      <c r="B82" s="8" t="s">
        <v>475</v>
      </c>
      <c r="C82" s="8" t="s">
        <v>476</v>
      </c>
      <c r="D82" s="12">
        <v>0</v>
      </c>
      <c r="E82" s="12">
        <v>7185</v>
      </c>
      <c r="F82" s="12">
        <v>7185</v>
      </c>
      <c r="G82" s="12">
        <f t="shared" si="2"/>
        <v>0</v>
      </c>
      <c r="H82" s="12">
        <f t="shared" si="3"/>
        <v>0</v>
      </c>
      <c r="I82" s="8" t="s">
        <v>141</v>
      </c>
    </row>
    <row r="83" spans="2:9" x14ac:dyDescent="0.3">
      <c r="B83" s="8" t="s">
        <v>477</v>
      </c>
      <c r="C83" s="8" t="s">
        <v>478</v>
      </c>
      <c r="D83" s="12">
        <v>0</v>
      </c>
      <c r="E83" s="12">
        <v>6290</v>
      </c>
      <c r="F83" s="12">
        <v>6290</v>
      </c>
      <c r="G83" s="12">
        <f t="shared" si="2"/>
        <v>0</v>
      </c>
      <c r="H83" s="12">
        <f t="shared" si="3"/>
        <v>0</v>
      </c>
      <c r="I83" s="8" t="s">
        <v>141</v>
      </c>
    </row>
    <row r="84" spans="2:9" x14ac:dyDescent="0.3">
      <c r="B84" s="8" t="s">
        <v>142</v>
      </c>
      <c r="C84" s="8" t="s">
        <v>143</v>
      </c>
      <c r="D84" s="12">
        <v>6200</v>
      </c>
      <c r="E84" s="12">
        <v>0</v>
      </c>
      <c r="F84" s="12">
        <v>0</v>
      </c>
      <c r="G84" s="12">
        <f t="shared" si="2"/>
        <v>0</v>
      </c>
      <c r="H84" s="12">
        <f t="shared" si="3"/>
        <v>6200</v>
      </c>
      <c r="I84" s="8" t="s">
        <v>141</v>
      </c>
    </row>
    <row r="85" spans="2:9" x14ac:dyDescent="0.3">
      <c r="B85" s="8" t="s">
        <v>479</v>
      </c>
      <c r="C85" s="8" t="s">
        <v>480</v>
      </c>
      <c r="D85" s="12">
        <v>0</v>
      </c>
      <c r="E85" s="12">
        <v>9300</v>
      </c>
      <c r="F85" s="12">
        <v>0</v>
      </c>
      <c r="G85" s="12">
        <f t="shared" si="2"/>
        <v>9300</v>
      </c>
      <c r="H85" s="12">
        <f t="shared" si="3"/>
        <v>9300</v>
      </c>
      <c r="I85" s="8" t="s">
        <v>141</v>
      </c>
    </row>
    <row r="86" spans="2:9" x14ac:dyDescent="0.3">
      <c r="B86" s="8" t="s">
        <v>481</v>
      </c>
      <c r="C86" s="8" t="s">
        <v>482</v>
      </c>
      <c r="D86" s="12">
        <v>0</v>
      </c>
      <c r="E86" s="12">
        <v>81540.33</v>
      </c>
      <c r="F86" s="12">
        <v>0</v>
      </c>
      <c r="G86" s="12">
        <f t="shared" si="2"/>
        <v>81540.33</v>
      </c>
      <c r="H86" s="12">
        <f t="shared" si="3"/>
        <v>81540.33</v>
      </c>
      <c r="I86" s="8" t="s">
        <v>141</v>
      </c>
    </row>
    <row r="87" spans="2:9" x14ac:dyDescent="0.3">
      <c r="B87" s="8" t="s">
        <v>144</v>
      </c>
      <c r="C87" s="8" t="s">
        <v>145</v>
      </c>
      <c r="D87" s="12">
        <v>300</v>
      </c>
      <c r="E87" s="12">
        <v>300</v>
      </c>
      <c r="F87" s="12">
        <v>0</v>
      </c>
      <c r="G87" s="12">
        <f t="shared" si="2"/>
        <v>300</v>
      </c>
      <c r="H87" s="12">
        <f t="shared" si="3"/>
        <v>600</v>
      </c>
      <c r="I87" s="8" t="s">
        <v>141</v>
      </c>
    </row>
    <row r="88" spans="2:9" x14ac:dyDescent="0.3">
      <c r="B88" s="8" t="s">
        <v>146</v>
      </c>
      <c r="C88" s="8" t="s">
        <v>147</v>
      </c>
      <c r="D88" s="12">
        <v>300</v>
      </c>
      <c r="E88" s="12">
        <v>300</v>
      </c>
      <c r="F88" s="12">
        <v>0</v>
      </c>
      <c r="G88" s="12">
        <f t="shared" si="2"/>
        <v>300</v>
      </c>
      <c r="H88" s="12">
        <f t="shared" si="3"/>
        <v>600</v>
      </c>
      <c r="I88" s="8" t="s">
        <v>141</v>
      </c>
    </row>
    <row r="89" spans="2:9" x14ac:dyDescent="0.3">
      <c r="B89" s="8" t="s">
        <v>148</v>
      </c>
      <c r="C89" s="8" t="s">
        <v>149</v>
      </c>
      <c r="D89" s="12">
        <v>300</v>
      </c>
      <c r="E89" s="12">
        <v>300</v>
      </c>
      <c r="F89" s="12">
        <v>0</v>
      </c>
      <c r="G89" s="12">
        <f t="shared" si="2"/>
        <v>300</v>
      </c>
      <c r="H89" s="12">
        <f t="shared" si="3"/>
        <v>600</v>
      </c>
      <c r="I89" s="8" t="s">
        <v>141</v>
      </c>
    </row>
    <row r="90" spans="2:9" x14ac:dyDescent="0.3">
      <c r="B90" s="8" t="s">
        <v>150</v>
      </c>
      <c r="C90" s="8" t="s">
        <v>151</v>
      </c>
      <c r="D90" s="12">
        <v>300</v>
      </c>
      <c r="E90" s="12">
        <v>0</v>
      </c>
      <c r="F90" s="12">
        <v>0</v>
      </c>
      <c r="G90" s="12">
        <f t="shared" si="2"/>
        <v>0</v>
      </c>
      <c r="H90" s="12">
        <f t="shared" si="3"/>
        <v>300</v>
      </c>
      <c r="I90" s="8" t="s">
        <v>141</v>
      </c>
    </row>
    <row r="91" spans="2:9" x14ac:dyDescent="0.3">
      <c r="B91" s="8" t="s">
        <v>152</v>
      </c>
      <c r="C91" s="8" t="s">
        <v>153</v>
      </c>
      <c r="D91" s="12">
        <v>300</v>
      </c>
      <c r="E91" s="12">
        <v>300</v>
      </c>
      <c r="F91" s="12">
        <v>0</v>
      </c>
      <c r="G91" s="12">
        <f t="shared" si="2"/>
        <v>300</v>
      </c>
      <c r="H91" s="12">
        <f t="shared" si="3"/>
        <v>600</v>
      </c>
      <c r="I91" s="8" t="s">
        <v>141</v>
      </c>
    </row>
    <row r="92" spans="2:9" x14ac:dyDescent="0.3">
      <c r="B92" s="15" t="s">
        <v>154</v>
      </c>
      <c r="C92" s="15" t="s">
        <v>155</v>
      </c>
      <c r="D92" s="16"/>
      <c r="E92" s="16"/>
      <c r="F92" s="16"/>
      <c r="G92" s="16"/>
      <c r="H92" s="16"/>
      <c r="I92" s="15"/>
    </row>
    <row r="93" spans="2:9" x14ac:dyDescent="0.3">
      <c r="B93" s="8" t="s">
        <v>483</v>
      </c>
      <c r="C93" s="8" t="s">
        <v>484</v>
      </c>
      <c r="D93" s="12">
        <v>0</v>
      </c>
      <c r="E93" s="12">
        <v>154069.01</v>
      </c>
      <c r="F93" s="12">
        <v>0</v>
      </c>
      <c r="G93" s="12">
        <f t="shared" si="2"/>
        <v>154069.01</v>
      </c>
      <c r="H93" s="12">
        <f t="shared" si="3"/>
        <v>154069.01</v>
      </c>
      <c r="I93" s="8" t="s">
        <v>158</v>
      </c>
    </row>
    <row r="94" spans="2:9" x14ac:dyDescent="0.3">
      <c r="B94" s="8" t="s">
        <v>156</v>
      </c>
      <c r="C94" s="8" t="s">
        <v>157</v>
      </c>
      <c r="D94" s="12">
        <v>7956.25</v>
      </c>
      <c r="E94" s="12">
        <v>65488.65</v>
      </c>
      <c r="F94" s="12">
        <v>0</v>
      </c>
      <c r="G94" s="12">
        <f t="shared" si="2"/>
        <v>65488.65</v>
      </c>
      <c r="H94" s="12">
        <f t="shared" si="3"/>
        <v>73444.899999999994</v>
      </c>
      <c r="I94" s="8" t="s">
        <v>158</v>
      </c>
    </row>
    <row r="95" spans="2:9" x14ac:dyDescent="0.3">
      <c r="B95" s="8" t="s">
        <v>485</v>
      </c>
      <c r="C95" s="8" t="s">
        <v>486</v>
      </c>
      <c r="D95" s="12">
        <v>0</v>
      </c>
      <c r="E95" s="12">
        <v>257525</v>
      </c>
      <c r="F95" s="12">
        <v>0</v>
      </c>
      <c r="G95" s="12">
        <f t="shared" si="2"/>
        <v>257525</v>
      </c>
      <c r="H95" s="12">
        <f t="shared" si="3"/>
        <v>257525</v>
      </c>
      <c r="I95" s="8" t="s">
        <v>158</v>
      </c>
    </row>
    <row r="96" spans="2:9" x14ac:dyDescent="0.3">
      <c r="B96" s="8" t="s">
        <v>487</v>
      </c>
      <c r="C96" s="8" t="s">
        <v>488</v>
      </c>
      <c r="D96" s="12">
        <v>0</v>
      </c>
      <c r="E96" s="12">
        <v>2000</v>
      </c>
      <c r="F96" s="12">
        <v>2000</v>
      </c>
      <c r="G96" s="12">
        <f t="shared" si="2"/>
        <v>0</v>
      </c>
      <c r="H96" s="12">
        <f t="shared" si="3"/>
        <v>0</v>
      </c>
      <c r="I96" s="8" t="s">
        <v>158</v>
      </c>
    </row>
    <row r="97" spans="2:9" x14ac:dyDescent="0.3">
      <c r="B97" s="8" t="s">
        <v>489</v>
      </c>
      <c r="C97" s="8" t="s">
        <v>490</v>
      </c>
      <c r="D97" s="12">
        <v>0</v>
      </c>
      <c r="E97" s="12">
        <v>7439.29</v>
      </c>
      <c r="F97" s="12">
        <v>0</v>
      </c>
      <c r="G97" s="12">
        <f t="shared" si="2"/>
        <v>7439.29</v>
      </c>
      <c r="H97" s="12">
        <f t="shared" si="3"/>
        <v>7439.29</v>
      </c>
      <c r="I97" s="8" t="s">
        <v>158</v>
      </c>
    </row>
    <row r="98" spans="2:9" x14ac:dyDescent="0.3">
      <c r="B98" s="8" t="s">
        <v>491</v>
      </c>
      <c r="C98" s="8" t="s">
        <v>492</v>
      </c>
      <c r="D98" s="12">
        <v>0</v>
      </c>
      <c r="E98" s="12">
        <v>650000</v>
      </c>
      <c r="F98" s="12">
        <v>0</v>
      </c>
      <c r="G98" s="12">
        <f t="shared" si="2"/>
        <v>650000</v>
      </c>
      <c r="H98" s="12">
        <f t="shared" si="3"/>
        <v>650000</v>
      </c>
      <c r="I98" s="8" t="s">
        <v>158</v>
      </c>
    </row>
    <row r="99" spans="2:9" x14ac:dyDescent="0.3">
      <c r="B99" s="15" t="s">
        <v>159</v>
      </c>
      <c r="C99" s="15" t="s">
        <v>160</v>
      </c>
      <c r="D99" s="16"/>
      <c r="E99" s="16"/>
      <c r="F99" s="16"/>
      <c r="G99" s="16"/>
      <c r="H99" s="16"/>
      <c r="I99" s="15"/>
    </row>
    <row r="100" spans="2:9" x14ac:dyDescent="0.3">
      <c r="B100" s="8" t="s">
        <v>161</v>
      </c>
      <c r="C100" s="8" t="s">
        <v>162</v>
      </c>
      <c r="D100" s="12">
        <v>470091.4</v>
      </c>
      <c r="E100" s="12">
        <v>701501.58</v>
      </c>
      <c r="F100" s="12">
        <v>693032</v>
      </c>
      <c r="G100" s="12">
        <f t="shared" si="2"/>
        <v>8469.5799999999581</v>
      </c>
      <c r="H100" s="12">
        <f t="shared" si="3"/>
        <v>478560.98</v>
      </c>
      <c r="I100" s="8" t="s">
        <v>163</v>
      </c>
    </row>
    <row r="101" spans="2:9" x14ac:dyDescent="0.3">
      <c r="B101" s="8" t="s">
        <v>164</v>
      </c>
      <c r="C101" s="8" t="s">
        <v>165</v>
      </c>
      <c r="D101" s="12">
        <v>-424337.4</v>
      </c>
      <c r="E101" s="12">
        <v>622696.06000000006</v>
      </c>
      <c r="F101" s="12">
        <v>622679.91</v>
      </c>
      <c r="G101" s="12">
        <f t="shared" si="2"/>
        <v>16.150000000023283</v>
      </c>
      <c r="H101" s="12">
        <f t="shared" si="3"/>
        <v>-424321.25</v>
      </c>
      <c r="I101" s="8" t="s">
        <v>163</v>
      </c>
    </row>
    <row r="102" spans="2:9" x14ac:dyDescent="0.3">
      <c r="B102" s="8" t="s">
        <v>166</v>
      </c>
      <c r="C102" s="8" t="s">
        <v>167</v>
      </c>
      <c r="D102" s="12">
        <v>0</v>
      </c>
      <c r="E102" s="12">
        <v>622696.06000000006</v>
      </c>
      <c r="F102" s="12">
        <v>622696.06000000006</v>
      </c>
      <c r="G102" s="12">
        <f t="shared" si="2"/>
        <v>0</v>
      </c>
      <c r="H102" s="12">
        <f t="shared" si="3"/>
        <v>0</v>
      </c>
      <c r="I102" s="8" t="s">
        <v>163</v>
      </c>
    </row>
    <row r="103" spans="2:9" x14ac:dyDescent="0.3">
      <c r="B103" s="15" t="s">
        <v>493</v>
      </c>
      <c r="C103" s="15" t="s">
        <v>494</v>
      </c>
      <c r="D103" s="16"/>
      <c r="E103" s="16"/>
      <c r="F103" s="16"/>
      <c r="G103" s="16"/>
      <c r="H103" s="16"/>
      <c r="I103" s="15"/>
    </row>
    <row r="104" spans="2:9" x14ac:dyDescent="0.3">
      <c r="B104" s="8" t="s">
        <v>495</v>
      </c>
      <c r="C104" s="8" t="s">
        <v>496</v>
      </c>
      <c r="D104" s="12">
        <v>0</v>
      </c>
      <c r="E104" s="12">
        <v>747534.5</v>
      </c>
      <c r="F104" s="12">
        <v>0</v>
      </c>
      <c r="G104" s="12">
        <f t="shared" si="2"/>
        <v>747534.5</v>
      </c>
      <c r="H104" s="12">
        <f t="shared" si="3"/>
        <v>747534.5</v>
      </c>
      <c r="I104" s="8" t="s">
        <v>497</v>
      </c>
    </row>
    <row r="105" spans="2:9" x14ac:dyDescent="0.3">
      <c r="B105" s="8" t="s">
        <v>498</v>
      </c>
      <c r="C105" s="8" t="s">
        <v>499</v>
      </c>
      <c r="D105" s="12">
        <v>0</v>
      </c>
      <c r="E105" s="12">
        <v>2850</v>
      </c>
      <c r="F105" s="12">
        <v>0</v>
      </c>
      <c r="G105" s="12">
        <f t="shared" si="2"/>
        <v>2850</v>
      </c>
      <c r="H105" s="12">
        <f t="shared" si="3"/>
        <v>2850</v>
      </c>
      <c r="I105" s="8" t="s">
        <v>497</v>
      </c>
    </row>
    <row r="106" spans="2:9" x14ac:dyDescent="0.3">
      <c r="B106" s="8" t="s">
        <v>500</v>
      </c>
      <c r="C106" s="8" t="s">
        <v>501</v>
      </c>
      <c r="D106" s="12">
        <v>0</v>
      </c>
      <c r="E106" s="12">
        <v>10500</v>
      </c>
      <c r="F106" s="12">
        <v>0</v>
      </c>
      <c r="G106" s="12">
        <f t="shared" si="2"/>
        <v>10500</v>
      </c>
      <c r="H106" s="12">
        <f t="shared" si="3"/>
        <v>10500</v>
      </c>
      <c r="I106" s="8" t="s">
        <v>497</v>
      </c>
    </row>
    <row r="107" spans="2:9" x14ac:dyDescent="0.3">
      <c r="B107" s="15" t="s">
        <v>168</v>
      </c>
      <c r="C107" s="15" t="s">
        <v>169</v>
      </c>
      <c r="D107" s="16"/>
      <c r="E107" s="16"/>
      <c r="F107" s="16"/>
      <c r="G107" s="16"/>
      <c r="H107" s="16"/>
      <c r="I107" s="15"/>
    </row>
    <row r="108" spans="2:9" x14ac:dyDescent="0.3">
      <c r="B108" s="8" t="s">
        <v>170</v>
      </c>
      <c r="C108" s="8" t="s">
        <v>171</v>
      </c>
      <c r="D108" s="12">
        <v>-11021.32</v>
      </c>
      <c r="E108" s="12">
        <v>0</v>
      </c>
      <c r="F108" s="12">
        <v>9954.41</v>
      </c>
      <c r="G108" s="12">
        <f t="shared" si="2"/>
        <v>-9954.41</v>
      </c>
      <c r="H108" s="12">
        <f t="shared" si="3"/>
        <v>-20975.73</v>
      </c>
      <c r="I108" s="8" t="s">
        <v>172</v>
      </c>
    </row>
    <row r="109" spans="2:9" x14ac:dyDescent="0.3">
      <c r="B109" s="8" t="s">
        <v>173</v>
      </c>
      <c r="C109" s="8" t="s">
        <v>174</v>
      </c>
      <c r="D109" s="12">
        <v>-856.77</v>
      </c>
      <c r="E109" s="12">
        <v>0</v>
      </c>
      <c r="F109" s="12">
        <v>822.88</v>
      </c>
      <c r="G109" s="12">
        <f t="shared" si="2"/>
        <v>-822.88</v>
      </c>
      <c r="H109" s="12">
        <f t="shared" si="3"/>
        <v>-1679.65</v>
      </c>
      <c r="I109" s="8" t="s">
        <v>172</v>
      </c>
    </row>
    <row r="110" spans="2:9" x14ac:dyDescent="0.3">
      <c r="B110" s="8" t="s">
        <v>175</v>
      </c>
      <c r="C110" s="8" t="s">
        <v>176</v>
      </c>
      <c r="D110" s="12">
        <v>-55.44</v>
      </c>
      <c r="E110" s="12">
        <v>0</v>
      </c>
      <c r="F110" s="12">
        <v>145.07</v>
      </c>
      <c r="G110" s="12">
        <f t="shared" si="2"/>
        <v>-145.07</v>
      </c>
      <c r="H110" s="12">
        <f t="shared" si="3"/>
        <v>-200.51</v>
      </c>
      <c r="I110" s="8" t="s">
        <v>172</v>
      </c>
    </row>
    <row r="111" spans="2:9" x14ac:dyDescent="0.3">
      <c r="B111" s="8" t="s">
        <v>177</v>
      </c>
      <c r="C111" s="8" t="s">
        <v>178</v>
      </c>
      <c r="D111" s="12">
        <v>-84.56</v>
      </c>
      <c r="E111" s="12">
        <v>0</v>
      </c>
      <c r="F111" s="12">
        <v>76.349999999999994</v>
      </c>
      <c r="G111" s="12">
        <f t="shared" si="2"/>
        <v>-76.349999999999994</v>
      </c>
      <c r="H111" s="12">
        <f t="shared" si="3"/>
        <v>-160.91</v>
      </c>
      <c r="I111" s="8" t="s">
        <v>172</v>
      </c>
    </row>
    <row r="112" spans="2:9" x14ac:dyDescent="0.3">
      <c r="B112" s="8" t="s">
        <v>179</v>
      </c>
      <c r="C112" s="8" t="s">
        <v>180</v>
      </c>
      <c r="D112" s="12">
        <v>-4730.68</v>
      </c>
      <c r="E112" s="12">
        <v>0</v>
      </c>
      <c r="F112" s="12">
        <v>4272.57</v>
      </c>
      <c r="G112" s="12">
        <f t="shared" si="2"/>
        <v>-4272.57</v>
      </c>
      <c r="H112" s="12">
        <f t="shared" si="3"/>
        <v>-9003.25</v>
      </c>
      <c r="I112" s="8" t="s">
        <v>172</v>
      </c>
    </row>
    <row r="113" spans="2:9" x14ac:dyDescent="0.3">
      <c r="B113" s="8" t="s">
        <v>181</v>
      </c>
      <c r="C113" s="8" t="s">
        <v>182</v>
      </c>
      <c r="D113" s="12">
        <v>-474.89</v>
      </c>
      <c r="E113" s="12">
        <v>0</v>
      </c>
      <c r="F113" s="12">
        <v>429.02</v>
      </c>
      <c r="G113" s="12">
        <f t="shared" si="2"/>
        <v>-429.02</v>
      </c>
      <c r="H113" s="12">
        <f t="shared" si="3"/>
        <v>-903.91</v>
      </c>
      <c r="I113" s="8" t="s">
        <v>172</v>
      </c>
    </row>
    <row r="114" spans="2:9" x14ac:dyDescent="0.3">
      <c r="B114" s="8" t="s">
        <v>183</v>
      </c>
      <c r="C114" s="8" t="s">
        <v>184</v>
      </c>
      <c r="D114" s="12">
        <v>-54.55</v>
      </c>
      <c r="E114" s="12">
        <v>0</v>
      </c>
      <c r="F114" s="12">
        <v>48.77</v>
      </c>
      <c r="G114" s="12">
        <f t="shared" si="2"/>
        <v>-48.77</v>
      </c>
      <c r="H114" s="12">
        <f t="shared" si="3"/>
        <v>-103.32</v>
      </c>
      <c r="I114" s="8" t="s">
        <v>172</v>
      </c>
    </row>
    <row r="115" spans="2:9" x14ac:dyDescent="0.3">
      <c r="B115" s="15" t="s">
        <v>185</v>
      </c>
      <c r="C115" s="15" t="s">
        <v>186</v>
      </c>
      <c r="D115" s="16"/>
      <c r="E115" s="16"/>
      <c r="F115" s="16"/>
      <c r="G115" s="16"/>
      <c r="H115" s="16"/>
      <c r="I115" s="15"/>
    </row>
    <row r="116" spans="2:9" x14ac:dyDescent="0.3">
      <c r="B116" s="8" t="s">
        <v>187</v>
      </c>
      <c r="C116" s="8" t="s">
        <v>188</v>
      </c>
      <c r="D116" s="12">
        <v>25875</v>
      </c>
      <c r="E116" s="12">
        <v>0</v>
      </c>
      <c r="F116" s="12">
        <v>25012.5</v>
      </c>
      <c r="G116" s="12">
        <f t="shared" si="2"/>
        <v>-25012.5</v>
      </c>
      <c r="H116" s="12">
        <f t="shared" si="3"/>
        <v>862.5</v>
      </c>
      <c r="I116" s="8" t="s">
        <v>189</v>
      </c>
    </row>
    <row r="117" spans="2:9" x14ac:dyDescent="0.3">
      <c r="B117" s="8" t="s">
        <v>502</v>
      </c>
      <c r="C117" s="8" t="s">
        <v>503</v>
      </c>
      <c r="D117" s="12">
        <v>0</v>
      </c>
      <c r="E117" s="12">
        <v>0</v>
      </c>
      <c r="F117" s="12">
        <v>13650.38</v>
      </c>
      <c r="G117" s="12">
        <f t="shared" si="2"/>
        <v>-13650.38</v>
      </c>
      <c r="H117" s="12">
        <f t="shared" si="3"/>
        <v>-13650.38</v>
      </c>
      <c r="I117" s="8" t="s">
        <v>189</v>
      </c>
    </row>
    <row r="118" spans="2:9" x14ac:dyDescent="0.3">
      <c r="B118" s="8" t="s">
        <v>504</v>
      </c>
      <c r="C118" s="8" t="s">
        <v>505</v>
      </c>
      <c r="D118" s="12">
        <v>0</v>
      </c>
      <c r="E118" s="12">
        <v>0</v>
      </c>
      <c r="F118" s="12">
        <v>415.5</v>
      </c>
      <c r="G118" s="12">
        <f t="shared" si="2"/>
        <v>-415.5</v>
      </c>
      <c r="H118" s="12">
        <f t="shared" si="3"/>
        <v>-415.5</v>
      </c>
      <c r="I118" s="8" t="s">
        <v>189</v>
      </c>
    </row>
    <row r="119" spans="2:9" x14ac:dyDescent="0.3">
      <c r="B119" s="8" t="s">
        <v>190</v>
      </c>
      <c r="C119" s="8" t="s">
        <v>191</v>
      </c>
      <c r="D119" s="12">
        <v>-12038.2</v>
      </c>
      <c r="E119" s="12">
        <v>11038.2</v>
      </c>
      <c r="F119" s="12">
        <v>0</v>
      </c>
      <c r="G119" s="12">
        <f t="shared" si="2"/>
        <v>11038.2</v>
      </c>
      <c r="H119" s="12">
        <f t="shared" si="3"/>
        <v>-1000</v>
      </c>
      <c r="I119" s="8" t="s">
        <v>189</v>
      </c>
    </row>
    <row r="120" spans="2:9" x14ac:dyDescent="0.3">
      <c r="B120" s="8" t="s">
        <v>192</v>
      </c>
      <c r="C120" s="8" t="s">
        <v>193</v>
      </c>
      <c r="D120" s="12">
        <v>-38425.480000000003</v>
      </c>
      <c r="E120" s="12">
        <v>45652.13</v>
      </c>
      <c r="F120" s="12">
        <v>2888.92</v>
      </c>
      <c r="G120" s="12">
        <f t="shared" si="2"/>
        <v>42763.21</v>
      </c>
      <c r="H120" s="12">
        <f t="shared" si="3"/>
        <v>4337.7299999999959</v>
      </c>
      <c r="I120" s="8" t="s">
        <v>189</v>
      </c>
    </row>
    <row r="121" spans="2:9" x14ac:dyDescent="0.3">
      <c r="B121" s="8" t="s">
        <v>506</v>
      </c>
      <c r="C121" s="8" t="s">
        <v>507</v>
      </c>
      <c r="D121" s="12">
        <v>0</v>
      </c>
      <c r="E121" s="12">
        <v>667.58</v>
      </c>
      <c r="F121" s="12">
        <v>17137.96</v>
      </c>
      <c r="G121" s="12">
        <f t="shared" si="2"/>
        <v>-16470.379999999997</v>
      </c>
      <c r="H121" s="12">
        <f t="shared" si="3"/>
        <v>-16470.379999999997</v>
      </c>
      <c r="I121" s="8" t="s">
        <v>189</v>
      </c>
    </row>
    <row r="122" spans="2:9" x14ac:dyDescent="0.3">
      <c r="B122" s="8" t="s">
        <v>194</v>
      </c>
      <c r="C122" s="8" t="s">
        <v>195</v>
      </c>
      <c r="D122" s="12">
        <v>0</v>
      </c>
      <c r="E122" s="12">
        <v>109631</v>
      </c>
      <c r="F122" s="12">
        <v>109631</v>
      </c>
      <c r="G122" s="12">
        <f t="shared" si="2"/>
        <v>0</v>
      </c>
      <c r="H122" s="12">
        <f t="shared" si="3"/>
        <v>0</v>
      </c>
      <c r="I122" s="8" t="s">
        <v>189</v>
      </c>
    </row>
    <row r="123" spans="2:9" x14ac:dyDescent="0.3">
      <c r="B123" s="8" t="s">
        <v>196</v>
      </c>
      <c r="C123" s="8" t="s">
        <v>197</v>
      </c>
      <c r="D123" s="12">
        <v>-534075.65</v>
      </c>
      <c r="E123" s="12">
        <v>0</v>
      </c>
      <c r="F123" s="12">
        <v>859664.68</v>
      </c>
      <c r="G123" s="12">
        <f t="shared" si="2"/>
        <v>-859664.68</v>
      </c>
      <c r="H123" s="12">
        <f t="shared" si="3"/>
        <v>-1393740.33</v>
      </c>
      <c r="I123" s="8" t="s">
        <v>189</v>
      </c>
    </row>
    <row r="124" spans="2:9" x14ac:dyDescent="0.3">
      <c r="B124" s="8" t="s">
        <v>198</v>
      </c>
      <c r="C124" s="8" t="s">
        <v>199</v>
      </c>
      <c r="D124" s="12">
        <v>0.25</v>
      </c>
      <c r="E124" s="12">
        <v>2950</v>
      </c>
      <c r="F124" s="12">
        <v>2950</v>
      </c>
      <c r="G124" s="12">
        <f t="shared" si="2"/>
        <v>0</v>
      </c>
      <c r="H124" s="12">
        <f t="shared" si="3"/>
        <v>0.25</v>
      </c>
      <c r="I124" s="8" t="s">
        <v>189</v>
      </c>
    </row>
    <row r="125" spans="2:9" x14ac:dyDescent="0.3">
      <c r="B125" s="8" t="s">
        <v>508</v>
      </c>
      <c r="C125" s="8" t="s">
        <v>509</v>
      </c>
      <c r="D125" s="12">
        <v>0</v>
      </c>
      <c r="E125" s="12">
        <v>4491.8999999999996</v>
      </c>
      <c r="F125" s="12">
        <v>4491.8999999999996</v>
      </c>
      <c r="G125" s="12">
        <f t="shared" si="2"/>
        <v>0</v>
      </c>
      <c r="H125" s="12">
        <f t="shared" si="3"/>
        <v>0</v>
      </c>
      <c r="I125" s="8" t="s">
        <v>189</v>
      </c>
    </row>
    <row r="126" spans="2:9" x14ac:dyDescent="0.3">
      <c r="B126" s="8" t="s">
        <v>510</v>
      </c>
      <c r="C126" s="8" t="s">
        <v>511</v>
      </c>
      <c r="D126" s="12">
        <v>0</v>
      </c>
      <c r="E126" s="12">
        <v>0</v>
      </c>
      <c r="F126" s="12">
        <v>1640</v>
      </c>
      <c r="G126" s="12">
        <f t="shared" si="2"/>
        <v>-1640</v>
      </c>
      <c r="H126" s="12">
        <f t="shared" si="3"/>
        <v>-1640</v>
      </c>
      <c r="I126" s="8" t="s">
        <v>189</v>
      </c>
    </row>
    <row r="127" spans="2:9" x14ac:dyDescent="0.3">
      <c r="B127" s="8" t="s">
        <v>512</v>
      </c>
      <c r="C127" s="8" t="s">
        <v>513</v>
      </c>
      <c r="D127" s="12">
        <v>0</v>
      </c>
      <c r="E127" s="12">
        <v>1895.2</v>
      </c>
      <c r="F127" s="12">
        <v>1895.2</v>
      </c>
      <c r="G127" s="12">
        <f t="shared" si="2"/>
        <v>0</v>
      </c>
      <c r="H127" s="12">
        <f t="shared" si="3"/>
        <v>0</v>
      </c>
      <c r="I127" s="8" t="s">
        <v>189</v>
      </c>
    </row>
    <row r="128" spans="2:9" x14ac:dyDescent="0.3">
      <c r="B128" s="8" t="s">
        <v>514</v>
      </c>
      <c r="C128" s="8" t="s">
        <v>515</v>
      </c>
      <c r="D128" s="12">
        <v>0</v>
      </c>
      <c r="E128" s="12">
        <v>0</v>
      </c>
      <c r="F128" s="12">
        <v>18179.2</v>
      </c>
      <c r="G128" s="12">
        <f t="shared" si="2"/>
        <v>-18179.2</v>
      </c>
      <c r="H128" s="12">
        <f t="shared" si="3"/>
        <v>-18179.2</v>
      </c>
      <c r="I128" s="8" t="s">
        <v>189</v>
      </c>
    </row>
    <row r="129" spans="2:9" x14ac:dyDescent="0.3">
      <c r="B129" s="8" t="s">
        <v>200</v>
      </c>
      <c r="C129" s="8" t="s">
        <v>201</v>
      </c>
      <c r="D129" s="12">
        <v>-3082</v>
      </c>
      <c r="E129" s="12">
        <v>3082</v>
      </c>
      <c r="F129" s="12">
        <v>0</v>
      </c>
      <c r="G129" s="12">
        <f t="shared" si="2"/>
        <v>3082</v>
      </c>
      <c r="H129" s="12">
        <f t="shared" si="3"/>
        <v>0</v>
      </c>
      <c r="I129" s="8" t="s">
        <v>189</v>
      </c>
    </row>
    <row r="130" spans="2:9" x14ac:dyDescent="0.3">
      <c r="B130" s="8" t="s">
        <v>516</v>
      </c>
      <c r="C130" s="8" t="s">
        <v>517</v>
      </c>
      <c r="D130" s="12">
        <v>0</v>
      </c>
      <c r="E130" s="12">
        <v>0</v>
      </c>
      <c r="F130" s="12">
        <v>32678.400000000001</v>
      </c>
      <c r="G130" s="12">
        <f t="shared" si="2"/>
        <v>-32678.400000000001</v>
      </c>
      <c r="H130" s="12">
        <f t="shared" si="3"/>
        <v>-32678.400000000001</v>
      </c>
      <c r="I130" s="8" t="s">
        <v>189</v>
      </c>
    </row>
    <row r="131" spans="2:9" x14ac:dyDescent="0.3">
      <c r="B131" s="8" t="s">
        <v>518</v>
      </c>
      <c r="C131" s="8" t="s">
        <v>519</v>
      </c>
      <c r="D131" s="12">
        <v>0</v>
      </c>
      <c r="E131" s="12">
        <v>72000</v>
      </c>
      <c r="F131" s="12">
        <v>739834.39</v>
      </c>
      <c r="G131" s="12">
        <f t="shared" si="2"/>
        <v>-667834.39</v>
      </c>
      <c r="H131" s="12">
        <f t="shared" si="3"/>
        <v>-667834.39</v>
      </c>
      <c r="I131" s="8" t="s">
        <v>189</v>
      </c>
    </row>
    <row r="132" spans="2:9" x14ac:dyDescent="0.3">
      <c r="B132" s="8" t="s">
        <v>520</v>
      </c>
      <c r="C132" s="8" t="s">
        <v>521</v>
      </c>
      <c r="D132" s="12">
        <v>0</v>
      </c>
      <c r="E132" s="12">
        <v>19676.900000000001</v>
      </c>
      <c r="F132" s="12">
        <v>43876.36</v>
      </c>
      <c r="G132" s="12">
        <f t="shared" si="2"/>
        <v>-24199.46</v>
      </c>
      <c r="H132" s="12">
        <f t="shared" si="3"/>
        <v>-24199.46</v>
      </c>
      <c r="I132" s="8" t="s">
        <v>189</v>
      </c>
    </row>
    <row r="133" spans="2:9" x14ac:dyDescent="0.3">
      <c r="B133" s="8" t="s">
        <v>202</v>
      </c>
      <c r="C133" s="8" t="s">
        <v>203</v>
      </c>
      <c r="D133" s="12">
        <v>10000</v>
      </c>
      <c r="E133" s="12">
        <v>0</v>
      </c>
      <c r="F133" s="12">
        <v>0</v>
      </c>
      <c r="G133" s="12">
        <f t="shared" si="2"/>
        <v>0</v>
      </c>
      <c r="H133" s="12">
        <f t="shared" si="3"/>
        <v>10000</v>
      </c>
      <c r="I133" s="8" t="s">
        <v>189</v>
      </c>
    </row>
    <row r="134" spans="2:9" x14ac:dyDescent="0.3">
      <c r="B134" s="8" t="s">
        <v>522</v>
      </c>
      <c r="C134" s="8" t="s">
        <v>523</v>
      </c>
      <c r="D134" s="12">
        <v>0</v>
      </c>
      <c r="E134" s="12">
        <v>0</v>
      </c>
      <c r="F134" s="12">
        <v>187995.2</v>
      </c>
      <c r="G134" s="12">
        <f t="shared" si="2"/>
        <v>-187995.2</v>
      </c>
      <c r="H134" s="12">
        <f t="shared" si="3"/>
        <v>-187995.2</v>
      </c>
      <c r="I134" s="8" t="s">
        <v>189</v>
      </c>
    </row>
    <row r="135" spans="2:9" x14ac:dyDescent="0.3">
      <c r="B135" s="8" t="s">
        <v>524</v>
      </c>
      <c r="C135" s="8" t="s">
        <v>525</v>
      </c>
      <c r="D135" s="12">
        <v>0</v>
      </c>
      <c r="E135" s="12">
        <v>0</v>
      </c>
      <c r="F135" s="12">
        <v>301.38</v>
      </c>
      <c r="G135" s="12">
        <f t="shared" si="2"/>
        <v>-301.38</v>
      </c>
      <c r="H135" s="12">
        <f t="shared" si="3"/>
        <v>-301.38</v>
      </c>
      <c r="I135" s="8" t="s">
        <v>189</v>
      </c>
    </row>
    <row r="136" spans="2:9" x14ac:dyDescent="0.3">
      <c r="B136" s="8" t="s">
        <v>526</v>
      </c>
      <c r="C136" s="8" t="s">
        <v>527</v>
      </c>
      <c r="D136" s="12">
        <v>0</v>
      </c>
      <c r="E136" s="12">
        <v>16028.7</v>
      </c>
      <c r="F136" s="12">
        <v>16029</v>
      </c>
      <c r="G136" s="12">
        <f t="shared" si="2"/>
        <v>-0.2999999999992724</v>
      </c>
      <c r="H136" s="12">
        <f t="shared" si="3"/>
        <v>-0.2999999999992724</v>
      </c>
      <c r="I136" s="8" t="s">
        <v>189</v>
      </c>
    </row>
    <row r="137" spans="2:9" x14ac:dyDescent="0.3">
      <c r="B137" s="8" t="s">
        <v>528</v>
      </c>
      <c r="C137" s="8" t="s">
        <v>529</v>
      </c>
      <c r="D137" s="12">
        <v>0</v>
      </c>
      <c r="E137" s="12">
        <v>50285.66</v>
      </c>
      <c r="F137" s="12">
        <v>0</v>
      </c>
      <c r="G137" s="12">
        <f t="shared" ref="G137:G200" si="4">E137-F137</f>
        <v>50285.66</v>
      </c>
      <c r="H137" s="12">
        <f t="shared" ref="H137:H200" si="5">D137+G137</f>
        <v>50285.66</v>
      </c>
      <c r="I137" s="8" t="s">
        <v>189</v>
      </c>
    </row>
    <row r="138" spans="2:9" x14ac:dyDescent="0.3">
      <c r="B138" s="8" t="s">
        <v>204</v>
      </c>
      <c r="C138" s="8" t="s">
        <v>205</v>
      </c>
      <c r="D138" s="12">
        <v>0</v>
      </c>
      <c r="E138" s="12">
        <v>6670</v>
      </c>
      <c r="F138" s="12">
        <v>6670</v>
      </c>
      <c r="G138" s="12">
        <f t="shared" si="4"/>
        <v>0</v>
      </c>
      <c r="H138" s="12">
        <f t="shared" si="5"/>
        <v>0</v>
      </c>
      <c r="I138" s="8" t="s">
        <v>189</v>
      </c>
    </row>
    <row r="139" spans="2:9" x14ac:dyDescent="0.3">
      <c r="B139" s="8" t="s">
        <v>530</v>
      </c>
      <c r="C139" s="8" t="s">
        <v>448</v>
      </c>
      <c r="D139" s="12">
        <v>0</v>
      </c>
      <c r="E139" s="12">
        <v>0</v>
      </c>
      <c r="F139" s="12">
        <v>13085.93</v>
      </c>
      <c r="G139" s="12">
        <f t="shared" si="4"/>
        <v>-13085.93</v>
      </c>
      <c r="H139" s="12">
        <f t="shared" si="5"/>
        <v>-13085.93</v>
      </c>
      <c r="I139" s="8" t="s">
        <v>189</v>
      </c>
    </row>
    <row r="140" spans="2:9" x14ac:dyDescent="0.3">
      <c r="B140" s="8" t="s">
        <v>531</v>
      </c>
      <c r="C140" s="8" t="s">
        <v>532</v>
      </c>
      <c r="D140" s="12">
        <v>0</v>
      </c>
      <c r="E140" s="12">
        <v>0</v>
      </c>
      <c r="F140" s="12">
        <v>50285.66</v>
      </c>
      <c r="G140" s="12">
        <f t="shared" si="4"/>
        <v>-50285.66</v>
      </c>
      <c r="H140" s="12">
        <f t="shared" si="5"/>
        <v>-50285.66</v>
      </c>
      <c r="I140" s="8" t="s">
        <v>189</v>
      </c>
    </row>
    <row r="141" spans="2:9" x14ac:dyDescent="0.3">
      <c r="B141" s="8" t="s">
        <v>533</v>
      </c>
      <c r="C141" s="8" t="s">
        <v>534</v>
      </c>
      <c r="D141" s="12">
        <v>0</v>
      </c>
      <c r="E141" s="12">
        <v>0</v>
      </c>
      <c r="F141" s="12">
        <v>90</v>
      </c>
      <c r="G141" s="12">
        <f t="shared" si="4"/>
        <v>-90</v>
      </c>
      <c r="H141" s="12">
        <f t="shared" si="5"/>
        <v>-90</v>
      </c>
      <c r="I141" s="8" t="s">
        <v>189</v>
      </c>
    </row>
    <row r="142" spans="2:9" x14ac:dyDescent="0.3">
      <c r="B142" s="8" t="s">
        <v>535</v>
      </c>
      <c r="C142" s="8" t="s">
        <v>536</v>
      </c>
      <c r="D142" s="12">
        <v>0</v>
      </c>
      <c r="E142" s="12">
        <v>0</v>
      </c>
      <c r="F142" s="12">
        <v>7039.15</v>
      </c>
      <c r="G142" s="12">
        <f t="shared" si="4"/>
        <v>-7039.15</v>
      </c>
      <c r="H142" s="12">
        <f t="shared" si="5"/>
        <v>-7039.15</v>
      </c>
      <c r="I142" s="8" t="s">
        <v>189</v>
      </c>
    </row>
    <row r="143" spans="2:9" x14ac:dyDescent="0.3">
      <c r="B143" s="8" t="s">
        <v>537</v>
      </c>
      <c r="C143" s="8" t="s">
        <v>538</v>
      </c>
      <c r="D143" s="12">
        <v>0</v>
      </c>
      <c r="E143" s="12">
        <v>0</v>
      </c>
      <c r="F143" s="12">
        <v>9447.25</v>
      </c>
      <c r="G143" s="12">
        <f t="shared" si="4"/>
        <v>-9447.25</v>
      </c>
      <c r="H143" s="12">
        <f t="shared" si="5"/>
        <v>-9447.25</v>
      </c>
      <c r="I143" s="8" t="s">
        <v>189</v>
      </c>
    </row>
    <row r="144" spans="2:9" x14ac:dyDescent="0.3">
      <c r="B144" s="8" t="s">
        <v>206</v>
      </c>
      <c r="C144" s="8" t="s">
        <v>207</v>
      </c>
      <c r="D144" s="12">
        <v>0</v>
      </c>
      <c r="E144" s="12">
        <v>2599.3000000000002</v>
      </c>
      <c r="F144" s="12">
        <v>2599.9</v>
      </c>
      <c r="G144" s="12">
        <f t="shared" si="4"/>
        <v>-0.59999999999990905</v>
      </c>
      <c r="H144" s="12">
        <f t="shared" si="5"/>
        <v>-0.59999999999990905</v>
      </c>
      <c r="I144" s="8" t="s">
        <v>189</v>
      </c>
    </row>
    <row r="145" spans="2:9" x14ac:dyDescent="0.3">
      <c r="B145" s="8" t="s">
        <v>539</v>
      </c>
      <c r="C145" s="8" t="s">
        <v>540</v>
      </c>
      <c r="D145" s="12">
        <v>0</v>
      </c>
      <c r="E145" s="12">
        <v>0</v>
      </c>
      <c r="F145" s="12">
        <v>481309.19</v>
      </c>
      <c r="G145" s="12">
        <f t="shared" si="4"/>
        <v>-481309.19</v>
      </c>
      <c r="H145" s="12">
        <f t="shared" si="5"/>
        <v>-481309.19</v>
      </c>
      <c r="I145" s="8" t="s">
        <v>189</v>
      </c>
    </row>
    <row r="146" spans="2:9" x14ac:dyDescent="0.3">
      <c r="B146" s="8" t="s">
        <v>208</v>
      </c>
      <c r="C146" s="8" t="s">
        <v>209</v>
      </c>
      <c r="D146" s="12">
        <v>-406387.16</v>
      </c>
      <c r="E146" s="12">
        <v>1338253.26</v>
      </c>
      <c r="F146" s="12">
        <v>650455.67000000004</v>
      </c>
      <c r="G146" s="12">
        <f t="shared" si="4"/>
        <v>687797.59</v>
      </c>
      <c r="H146" s="12">
        <f t="shared" si="5"/>
        <v>281410.43</v>
      </c>
      <c r="I146" s="8" t="s">
        <v>189</v>
      </c>
    </row>
    <row r="147" spans="2:9" x14ac:dyDescent="0.3">
      <c r="B147" s="8" t="s">
        <v>541</v>
      </c>
      <c r="C147" s="8" t="s">
        <v>542</v>
      </c>
      <c r="D147" s="12">
        <v>0</v>
      </c>
      <c r="E147" s="12">
        <v>20945.27</v>
      </c>
      <c r="F147" s="12">
        <v>0</v>
      </c>
      <c r="G147" s="12">
        <f t="shared" si="4"/>
        <v>20945.27</v>
      </c>
      <c r="H147" s="12">
        <f t="shared" si="5"/>
        <v>20945.27</v>
      </c>
      <c r="I147" s="8" t="s">
        <v>189</v>
      </c>
    </row>
    <row r="148" spans="2:9" x14ac:dyDescent="0.3">
      <c r="B148" s="8" t="s">
        <v>543</v>
      </c>
      <c r="C148" s="8" t="s">
        <v>544</v>
      </c>
      <c r="D148" s="12">
        <v>0</v>
      </c>
      <c r="E148" s="12">
        <v>0</v>
      </c>
      <c r="F148" s="12">
        <v>89152.02</v>
      </c>
      <c r="G148" s="12">
        <f t="shared" si="4"/>
        <v>-89152.02</v>
      </c>
      <c r="H148" s="12">
        <f t="shared" si="5"/>
        <v>-89152.02</v>
      </c>
      <c r="I148" s="8" t="s">
        <v>189</v>
      </c>
    </row>
    <row r="149" spans="2:9" x14ac:dyDescent="0.3">
      <c r="B149" s="8" t="s">
        <v>545</v>
      </c>
      <c r="C149" s="8" t="s">
        <v>546</v>
      </c>
      <c r="D149" s="12">
        <v>0</v>
      </c>
      <c r="E149" s="12">
        <v>0</v>
      </c>
      <c r="F149" s="12">
        <v>8735</v>
      </c>
      <c r="G149" s="12">
        <f t="shared" si="4"/>
        <v>-8735</v>
      </c>
      <c r="H149" s="12">
        <f t="shared" si="5"/>
        <v>-8735</v>
      </c>
      <c r="I149" s="8" t="s">
        <v>189</v>
      </c>
    </row>
    <row r="150" spans="2:9" x14ac:dyDescent="0.3">
      <c r="B150" s="8" t="s">
        <v>547</v>
      </c>
      <c r="C150" s="8" t="s">
        <v>548</v>
      </c>
      <c r="D150" s="12">
        <v>0</v>
      </c>
      <c r="E150" s="12">
        <v>0</v>
      </c>
      <c r="F150" s="12">
        <v>71000</v>
      </c>
      <c r="G150" s="12">
        <f t="shared" si="4"/>
        <v>-71000</v>
      </c>
      <c r="H150" s="12">
        <f t="shared" si="5"/>
        <v>-71000</v>
      </c>
      <c r="I150" s="8" t="s">
        <v>189</v>
      </c>
    </row>
    <row r="151" spans="2:9" x14ac:dyDescent="0.3">
      <c r="B151" s="8" t="s">
        <v>549</v>
      </c>
      <c r="C151" s="8" t="s">
        <v>550</v>
      </c>
      <c r="D151" s="12">
        <v>0</v>
      </c>
      <c r="E151" s="12">
        <v>0</v>
      </c>
      <c r="F151" s="12">
        <v>374265.46</v>
      </c>
      <c r="G151" s="12">
        <f t="shared" si="4"/>
        <v>-374265.46</v>
      </c>
      <c r="H151" s="12">
        <f t="shared" si="5"/>
        <v>-374265.46</v>
      </c>
      <c r="I151" s="8" t="s">
        <v>189</v>
      </c>
    </row>
    <row r="152" spans="2:9" x14ac:dyDescent="0.3">
      <c r="B152" s="8" t="s">
        <v>210</v>
      </c>
      <c r="C152" s="8" t="s">
        <v>211</v>
      </c>
      <c r="D152" s="12">
        <v>0</v>
      </c>
      <c r="E152" s="12">
        <v>2053</v>
      </c>
      <c r="F152" s="12">
        <v>2053</v>
      </c>
      <c r="G152" s="12">
        <f t="shared" si="4"/>
        <v>0</v>
      </c>
      <c r="H152" s="12">
        <f t="shared" si="5"/>
        <v>0</v>
      </c>
      <c r="I152" s="8" t="s">
        <v>189</v>
      </c>
    </row>
    <row r="153" spans="2:9" x14ac:dyDescent="0.3">
      <c r="B153" s="8" t="s">
        <v>212</v>
      </c>
      <c r="C153" s="8" t="s">
        <v>213</v>
      </c>
      <c r="D153" s="12">
        <v>-254055.93</v>
      </c>
      <c r="E153" s="12">
        <v>0</v>
      </c>
      <c r="F153" s="12">
        <v>0</v>
      </c>
      <c r="G153" s="12">
        <f t="shared" si="4"/>
        <v>0</v>
      </c>
      <c r="H153" s="12">
        <f t="shared" si="5"/>
        <v>-254055.93</v>
      </c>
      <c r="I153" s="8" t="s">
        <v>189</v>
      </c>
    </row>
    <row r="154" spans="2:9" x14ac:dyDescent="0.3">
      <c r="B154" s="8" t="s">
        <v>214</v>
      </c>
      <c r="C154" s="8" t="s">
        <v>215</v>
      </c>
      <c r="D154" s="12">
        <v>220918.2</v>
      </c>
      <c r="E154" s="12">
        <v>0</v>
      </c>
      <c r="F154" s="12">
        <v>420874.3</v>
      </c>
      <c r="G154" s="12">
        <f t="shared" si="4"/>
        <v>-420874.3</v>
      </c>
      <c r="H154" s="12">
        <f t="shared" si="5"/>
        <v>-199956.09999999998</v>
      </c>
      <c r="I154" s="8" t="s">
        <v>189</v>
      </c>
    </row>
    <row r="155" spans="2:9" x14ac:dyDescent="0.3">
      <c r="B155" s="15" t="s">
        <v>216</v>
      </c>
      <c r="C155" s="15" t="s">
        <v>217</v>
      </c>
      <c r="D155" s="16"/>
      <c r="E155" s="16"/>
      <c r="F155" s="16"/>
      <c r="G155" s="16"/>
      <c r="H155" s="16"/>
      <c r="I155" s="15"/>
    </row>
    <row r="156" spans="2:9" x14ac:dyDescent="0.3">
      <c r="B156" s="8" t="s">
        <v>218</v>
      </c>
      <c r="C156" s="8" t="s">
        <v>219</v>
      </c>
      <c r="D156" s="12">
        <v>-101671</v>
      </c>
      <c r="E156" s="12">
        <v>161751.35999999999</v>
      </c>
      <c r="F156" s="12">
        <v>138029.60999999999</v>
      </c>
      <c r="G156" s="12">
        <f t="shared" si="4"/>
        <v>23721.75</v>
      </c>
      <c r="H156" s="12">
        <f t="shared" si="5"/>
        <v>-77949.25</v>
      </c>
      <c r="I156" s="8" t="s">
        <v>220</v>
      </c>
    </row>
    <row r="157" spans="2:9" x14ac:dyDescent="0.3">
      <c r="B157" s="8" t="s">
        <v>551</v>
      </c>
      <c r="C157" s="8" t="s">
        <v>552</v>
      </c>
      <c r="D157" s="12">
        <v>0</v>
      </c>
      <c r="E157" s="12">
        <v>0</v>
      </c>
      <c r="F157" s="12">
        <v>5525.75</v>
      </c>
      <c r="G157" s="12">
        <f t="shared" si="4"/>
        <v>-5525.75</v>
      </c>
      <c r="H157" s="12">
        <f t="shared" si="5"/>
        <v>-5525.75</v>
      </c>
      <c r="I157" s="8" t="s">
        <v>220</v>
      </c>
    </row>
    <row r="158" spans="2:9" x14ac:dyDescent="0.3">
      <c r="B158" s="8" t="s">
        <v>553</v>
      </c>
      <c r="C158" s="8" t="s">
        <v>554</v>
      </c>
      <c r="D158" s="12">
        <v>0</v>
      </c>
      <c r="E158" s="12">
        <v>0</v>
      </c>
      <c r="F158" s="12">
        <v>24857.94</v>
      </c>
      <c r="G158" s="12">
        <f t="shared" si="4"/>
        <v>-24857.94</v>
      </c>
      <c r="H158" s="12">
        <f t="shared" si="5"/>
        <v>-24857.94</v>
      </c>
      <c r="I158" s="8" t="s">
        <v>220</v>
      </c>
    </row>
    <row r="159" spans="2:9" x14ac:dyDescent="0.3">
      <c r="B159" s="15" t="s">
        <v>221</v>
      </c>
      <c r="C159" s="15" t="s">
        <v>222</v>
      </c>
      <c r="D159" s="16"/>
      <c r="E159" s="16"/>
      <c r="F159" s="16"/>
      <c r="G159" s="16"/>
      <c r="H159" s="16"/>
      <c r="I159" s="15"/>
    </row>
    <row r="160" spans="2:9" x14ac:dyDescent="0.3">
      <c r="B160" s="8" t="s">
        <v>223</v>
      </c>
      <c r="C160" s="8" t="s">
        <v>224</v>
      </c>
      <c r="D160" s="12">
        <v>10127.36</v>
      </c>
      <c r="E160" s="12">
        <v>0</v>
      </c>
      <c r="F160" s="12">
        <v>23000</v>
      </c>
      <c r="G160" s="12">
        <f t="shared" si="4"/>
        <v>-23000</v>
      </c>
      <c r="H160" s="12">
        <f t="shared" si="5"/>
        <v>-12872.64</v>
      </c>
      <c r="I160" s="8" t="s">
        <v>225</v>
      </c>
    </row>
    <row r="161" spans="2:9" x14ac:dyDescent="0.3">
      <c r="B161" s="8" t="s">
        <v>555</v>
      </c>
      <c r="C161" s="8" t="s">
        <v>556</v>
      </c>
      <c r="D161" s="12">
        <v>0</v>
      </c>
      <c r="E161" s="12">
        <v>500000</v>
      </c>
      <c r="F161" s="12">
        <v>0</v>
      </c>
      <c r="G161" s="12">
        <f t="shared" si="4"/>
        <v>500000</v>
      </c>
      <c r="H161" s="12">
        <f t="shared" si="5"/>
        <v>500000</v>
      </c>
      <c r="I161" s="8" t="s">
        <v>225</v>
      </c>
    </row>
    <row r="162" spans="2:9" x14ac:dyDescent="0.3">
      <c r="B162" s="15" t="s">
        <v>226</v>
      </c>
      <c r="C162" s="15" t="s">
        <v>227</v>
      </c>
      <c r="D162" s="16"/>
      <c r="E162" s="16"/>
      <c r="F162" s="16"/>
      <c r="G162" s="16"/>
      <c r="H162" s="16"/>
      <c r="I162" s="15"/>
    </row>
    <row r="163" spans="2:9" x14ac:dyDescent="0.3">
      <c r="B163" s="8" t="s">
        <v>228</v>
      </c>
      <c r="C163" s="8" t="s">
        <v>229</v>
      </c>
      <c r="D163" s="12">
        <v>-186025.46</v>
      </c>
      <c r="E163" s="12">
        <v>0</v>
      </c>
      <c r="F163" s="12">
        <v>0</v>
      </c>
      <c r="G163" s="12">
        <f t="shared" si="4"/>
        <v>0</v>
      </c>
      <c r="H163" s="12">
        <f t="shared" si="5"/>
        <v>-186025.46</v>
      </c>
      <c r="I163" s="8" t="s">
        <v>230</v>
      </c>
    </row>
    <row r="164" spans="2:9" x14ac:dyDescent="0.3">
      <c r="B164" s="8" t="s">
        <v>231</v>
      </c>
      <c r="C164" s="8" t="s">
        <v>232</v>
      </c>
      <c r="D164" s="12">
        <v>35121.67</v>
      </c>
      <c r="E164" s="12">
        <v>559916.31999999995</v>
      </c>
      <c r="F164" s="12">
        <v>134685.34</v>
      </c>
      <c r="G164" s="12">
        <f t="shared" si="4"/>
        <v>425230.98</v>
      </c>
      <c r="H164" s="12">
        <f t="shared" si="5"/>
        <v>460352.64999999997</v>
      </c>
      <c r="I164" s="8" t="s">
        <v>230</v>
      </c>
    </row>
    <row r="165" spans="2:9" x14ac:dyDescent="0.3">
      <c r="B165" s="8" t="s">
        <v>557</v>
      </c>
      <c r="C165" s="8" t="s">
        <v>558</v>
      </c>
      <c r="D165" s="12">
        <v>0</v>
      </c>
      <c r="E165" s="12">
        <v>214946.57</v>
      </c>
      <c r="F165" s="12">
        <v>543917.85</v>
      </c>
      <c r="G165" s="12">
        <f t="shared" si="4"/>
        <v>-328971.27999999997</v>
      </c>
      <c r="H165" s="12">
        <f t="shared" si="5"/>
        <v>-328971.27999999997</v>
      </c>
      <c r="I165" s="8" t="s">
        <v>230</v>
      </c>
    </row>
    <row r="166" spans="2:9" x14ac:dyDescent="0.3">
      <c r="B166" s="8" t="s">
        <v>233</v>
      </c>
      <c r="C166" s="8" t="s">
        <v>234</v>
      </c>
      <c r="D166" s="12">
        <v>1075.25</v>
      </c>
      <c r="E166" s="12">
        <v>9017.66</v>
      </c>
      <c r="F166" s="12">
        <v>0</v>
      </c>
      <c r="G166" s="12">
        <f t="shared" si="4"/>
        <v>9017.66</v>
      </c>
      <c r="H166" s="12">
        <f t="shared" si="5"/>
        <v>10092.91</v>
      </c>
      <c r="I166" s="8" t="s">
        <v>230</v>
      </c>
    </row>
    <row r="167" spans="2:9" x14ac:dyDescent="0.3">
      <c r="B167" s="8" t="s">
        <v>235</v>
      </c>
      <c r="C167" s="8" t="s">
        <v>236</v>
      </c>
      <c r="D167" s="12">
        <v>719321.33</v>
      </c>
      <c r="E167" s="12">
        <v>879145.5</v>
      </c>
      <c r="F167" s="12">
        <v>1069391.43</v>
      </c>
      <c r="G167" s="12">
        <f t="shared" si="4"/>
        <v>-190245.92999999993</v>
      </c>
      <c r="H167" s="12">
        <f t="shared" si="5"/>
        <v>529075.4</v>
      </c>
      <c r="I167" s="8" t="s">
        <v>230</v>
      </c>
    </row>
    <row r="168" spans="2:9" x14ac:dyDescent="0.3">
      <c r="B168" s="8" t="s">
        <v>237</v>
      </c>
      <c r="C168" s="8" t="s">
        <v>238</v>
      </c>
      <c r="D168" s="12">
        <v>-476905</v>
      </c>
      <c r="E168" s="12">
        <v>0</v>
      </c>
      <c r="F168" s="12">
        <v>20744.849999999999</v>
      </c>
      <c r="G168" s="12">
        <f t="shared" si="4"/>
        <v>-20744.849999999999</v>
      </c>
      <c r="H168" s="12">
        <f t="shared" si="5"/>
        <v>-497649.85</v>
      </c>
      <c r="I168" s="8" t="s">
        <v>230</v>
      </c>
    </row>
    <row r="169" spans="2:9" x14ac:dyDescent="0.3">
      <c r="B169" s="15" t="s">
        <v>559</v>
      </c>
      <c r="C169" s="15" t="s">
        <v>560</v>
      </c>
      <c r="D169" s="16"/>
      <c r="E169" s="16"/>
      <c r="F169" s="16"/>
      <c r="G169" s="16"/>
      <c r="H169" s="16"/>
      <c r="I169" s="15"/>
    </row>
    <row r="170" spans="2:9" x14ac:dyDescent="0.3">
      <c r="B170" s="8" t="s">
        <v>561</v>
      </c>
      <c r="C170" s="8" t="s">
        <v>562</v>
      </c>
      <c r="D170" s="12">
        <v>0</v>
      </c>
      <c r="E170" s="12">
        <v>0</v>
      </c>
      <c r="F170" s="12">
        <v>96200</v>
      </c>
      <c r="G170" s="12">
        <f t="shared" si="4"/>
        <v>-96200</v>
      </c>
      <c r="H170" s="12">
        <f t="shared" si="5"/>
        <v>-96200</v>
      </c>
      <c r="I170" s="8" t="s">
        <v>563</v>
      </c>
    </row>
    <row r="171" spans="2:9" x14ac:dyDescent="0.3">
      <c r="B171" s="15" t="s">
        <v>239</v>
      </c>
      <c r="C171" s="15" t="s">
        <v>240</v>
      </c>
      <c r="D171" s="16"/>
      <c r="E171" s="16"/>
      <c r="F171" s="16"/>
      <c r="G171" s="16"/>
      <c r="H171" s="16"/>
      <c r="I171" s="15"/>
    </row>
    <row r="172" spans="2:9" x14ac:dyDescent="0.3">
      <c r="B172" s="8" t="s">
        <v>564</v>
      </c>
      <c r="C172" s="8" t="s">
        <v>565</v>
      </c>
      <c r="D172" s="12">
        <v>0</v>
      </c>
      <c r="E172" s="12">
        <v>6800</v>
      </c>
      <c r="F172" s="12">
        <v>78727.320000000007</v>
      </c>
      <c r="G172" s="12">
        <f t="shared" si="4"/>
        <v>-71927.320000000007</v>
      </c>
      <c r="H172" s="12">
        <f t="shared" si="5"/>
        <v>-71927.320000000007</v>
      </c>
      <c r="I172" s="8" t="s">
        <v>243</v>
      </c>
    </row>
    <row r="173" spans="2:9" x14ac:dyDescent="0.3">
      <c r="B173" s="8" t="s">
        <v>241</v>
      </c>
      <c r="C173" s="8" t="s">
        <v>242</v>
      </c>
      <c r="D173" s="12">
        <v>-10615.82</v>
      </c>
      <c r="E173" s="12">
        <v>14288.91</v>
      </c>
      <c r="F173" s="12">
        <v>70522.509999999995</v>
      </c>
      <c r="G173" s="12">
        <f t="shared" si="4"/>
        <v>-56233.599999999991</v>
      </c>
      <c r="H173" s="12">
        <f t="shared" si="5"/>
        <v>-66849.419999999984</v>
      </c>
      <c r="I173" s="8" t="s">
        <v>243</v>
      </c>
    </row>
    <row r="174" spans="2:9" x14ac:dyDescent="0.3">
      <c r="B174" s="15" t="s">
        <v>244</v>
      </c>
      <c r="C174" s="15" t="s">
        <v>245</v>
      </c>
      <c r="D174" s="16"/>
      <c r="E174" s="16"/>
      <c r="F174" s="16"/>
      <c r="G174" s="16"/>
      <c r="H174" s="16"/>
      <c r="I174" s="15"/>
    </row>
    <row r="175" spans="2:9" x14ac:dyDescent="0.3">
      <c r="B175" s="8" t="s">
        <v>246</v>
      </c>
      <c r="C175" s="8" t="s">
        <v>247</v>
      </c>
      <c r="D175" s="12">
        <v>-26306.240000000002</v>
      </c>
      <c r="E175" s="12">
        <v>19317.240000000002</v>
      </c>
      <c r="F175" s="12">
        <v>323796.90000000002</v>
      </c>
      <c r="G175" s="12">
        <f t="shared" si="4"/>
        <v>-304479.66000000003</v>
      </c>
      <c r="H175" s="12">
        <f t="shared" si="5"/>
        <v>-330785.90000000002</v>
      </c>
      <c r="I175" s="8" t="s">
        <v>248</v>
      </c>
    </row>
    <row r="176" spans="2:9" x14ac:dyDescent="0.3">
      <c r="B176" s="15" t="s">
        <v>249</v>
      </c>
      <c r="C176" s="15" t="s">
        <v>250</v>
      </c>
      <c r="D176" s="16"/>
      <c r="E176" s="16"/>
      <c r="F176" s="16"/>
      <c r="G176" s="16"/>
      <c r="H176" s="16"/>
      <c r="I176" s="15"/>
    </row>
    <row r="177" spans="2:9" x14ac:dyDescent="0.3">
      <c r="B177" s="8" t="s">
        <v>251</v>
      </c>
      <c r="C177" s="8" t="s">
        <v>252</v>
      </c>
      <c r="D177" s="12">
        <v>-4253.22</v>
      </c>
      <c r="E177" s="12">
        <v>518.29</v>
      </c>
      <c r="F177" s="12">
        <v>133907.70000000001</v>
      </c>
      <c r="G177" s="12">
        <f t="shared" si="4"/>
        <v>-133389.41</v>
      </c>
      <c r="H177" s="12">
        <f t="shared" si="5"/>
        <v>-137642.63</v>
      </c>
      <c r="I177" s="8" t="s">
        <v>253</v>
      </c>
    </row>
    <row r="178" spans="2:9" x14ac:dyDescent="0.3">
      <c r="B178" s="8" t="s">
        <v>254</v>
      </c>
      <c r="C178" s="8" t="s">
        <v>255</v>
      </c>
      <c r="D178" s="12">
        <v>-29823.07</v>
      </c>
      <c r="E178" s="12">
        <v>0</v>
      </c>
      <c r="F178" s="12">
        <v>0</v>
      </c>
      <c r="G178" s="12">
        <f t="shared" si="4"/>
        <v>0</v>
      </c>
      <c r="H178" s="12">
        <f t="shared" si="5"/>
        <v>-29823.07</v>
      </c>
      <c r="I178" s="8" t="s">
        <v>253</v>
      </c>
    </row>
    <row r="179" spans="2:9" x14ac:dyDescent="0.3">
      <c r="B179" s="15" t="s">
        <v>256</v>
      </c>
      <c r="C179" s="15" t="s">
        <v>257</v>
      </c>
      <c r="D179" s="16"/>
      <c r="E179" s="16"/>
      <c r="F179" s="16"/>
      <c r="G179" s="16"/>
      <c r="H179" s="16"/>
      <c r="I179" s="15"/>
    </row>
    <row r="180" spans="2:9" x14ac:dyDescent="0.3">
      <c r="B180" s="8" t="s">
        <v>258</v>
      </c>
      <c r="C180" s="8" t="s">
        <v>259</v>
      </c>
      <c r="D180" s="12">
        <v>-1379782.25</v>
      </c>
      <c r="E180" s="12">
        <v>0</v>
      </c>
      <c r="F180" s="12">
        <v>995089.5</v>
      </c>
      <c r="G180" s="12">
        <f t="shared" si="4"/>
        <v>-995089.5</v>
      </c>
      <c r="H180" s="12">
        <f t="shared" si="5"/>
        <v>-2374871.75</v>
      </c>
      <c r="I180" s="8" t="s">
        <v>260</v>
      </c>
    </row>
    <row r="181" spans="2:9" x14ac:dyDescent="0.3">
      <c r="B181" s="8" t="s">
        <v>261</v>
      </c>
      <c r="C181" s="8" t="s">
        <v>262</v>
      </c>
      <c r="D181" s="12">
        <v>-219840.73</v>
      </c>
      <c r="E181" s="12">
        <v>0</v>
      </c>
      <c r="F181" s="12">
        <v>241752.79</v>
      </c>
      <c r="G181" s="12">
        <f t="shared" si="4"/>
        <v>-241752.79</v>
      </c>
      <c r="H181" s="12">
        <f t="shared" si="5"/>
        <v>-461593.52</v>
      </c>
      <c r="I181" s="8" t="s">
        <v>260</v>
      </c>
    </row>
    <row r="182" spans="2:9" x14ac:dyDescent="0.3">
      <c r="B182" s="15" t="s">
        <v>263</v>
      </c>
      <c r="C182" s="15" t="s">
        <v>264</v>
      </c>
      <c r="D182" s="16"/>
      <c r="E182" s="16"/>
      <c r="F182" s="16"/>
      <c r="G182" s="16"/>
      <c r="H182" s="16"/>
      <c r="I182" s="15"/>
    </row>
    <row r="183" spans="2:9" x14ac:dyDescent="0.3">
      <c r="B183" s="8" t="s">
        <v>566</v>
      </c>
      <c r="C183" s="8" t="s">
        <v>567</v>
      </c>
      <c r="D183" s="12">
        <v>0</v>
      </c>
      <c r="E183" s="12">
        <v>2249</v>
      </c>
      <c r="F183" s="12">
        <v>0</v>
      </c>
      <c r="G183" s="12">
        <f t="shared" si="4"/>
        <v>2249</v>
      </c>
      <c r="H183" s="12">
        <f t="shared" si="5"/>
        <v>2249</v>
      </c>
      <c r="I183" s="8" t="s">
        <v>267</v>
      </c>
    </row>
    <row r="184" spans="2:9" x14ac:dyDescent="0.3">
      <c r="B184" s="8" t="s">
        <v>568</v>
      </c>
      <c r="C184" s="8" t="s">
        <v>569</v>
      </c>
      <c r="D184" s="12">
        <v>0</v>
      </c>
      <c r="E184" s="12">
        <v>50</v>
      </c>
      <c r="F184" s="12">
        <v>0</v>
      </c>
      <c r="G184" s="12">
        <f t="shared" si="4"/>
        <v>50</v>
      </c>
      <c r="H184" s="12">
        <f t="shared" si="5"/>
        <v>50</v>
      </c>
      <c r="I184" s="8" t="s">
        <v>267</v>
      </c>
    </row>
    <row r="185" spans="2:9" x14ac:dyDescent="0.3">
      <c r="B185" s="8" t="s">
        <v>265</v>
      </c>
      <c r="C185" s="8" t="s">
        <v>266</v>
      </c>
      <c r="D185" s="12">
        <v>2850</v>
      </c>
      <c r="E185" s="12">
        <v>5927</v>
      </c>
      <c r="F185" s="12">
        <v>0</v>
      </c>
      <c r="G185" s="12">
        <f t="shared" si="4"/>
        <v>5927</v>
      </c>
      <c r="H185" s="12">
        <f t="shared" si="5"/>
        <v>8777</v>
      </c>
      <c r="I185" s="8" t="s">
        <v>267</v>
      </c>
    </row>
    <row r="186" spans="2:9" x14ac:dyDescent="0.3">
      <c r="B186" s="8" t="s">
        <v>268</v>
      </c>
      <c r="C186" s="8" t="s">
        <v>269</v>
      </c>
      <c r="D186" s="12">
        <v>7780</v>
      </c>
      <c r="E186" s="12">
        <v>21808</v>
      </c>
      <c r="F186" s="12">
        <v>0</v>
      </c>
      <c r="G186" s="12">
        <f t="shared" si="4"/>
        <v>21808</v>
      </c>
      <c r="H186" s="12">
        <f t="shared" si="5"/>
        <v>29588</v>
      </c>
      <c r="I186" s="8" t="s">
        <v>267</v>
      </c>
    </row>
    <row r="187" spans="2:9" x14ac:dyDescent="0.3">
      <c r="B187" s="8" t="s">
        <v>270</v>
      </c>
      <c r="C187" s="8" t="s">
        <v>271</v>
      </c>
      <c r="D187" s="12">
        <v>1178895.9099999999</v>
      </c>
      <c r="E187" s="12">
        <v>664480.5</v>
      </c>
      <c r="F187" s="12">
        <v>0</v>
      </c>
      <c r="G187" s="12">
        <f t="shared" si="4"/>
        <v>664480.5</v>
      </c>
      <c r="H187" s="12">
        <f t="shared" si="5"/>
        <v>1843376.41</v>
      </c>
      <c r="I187" s="8" t="s">
        <v>267</v>
      </c>
    </row>
    <row r="188" spans="2:9" x14ac:dyDescent="0.3">
      <c r="B188" s="8" t="s">
        <v>272</v>
      </c>
      <c r="C188" s="8" t="s">
        <v>273</v>
      </c>
      <c r="D188" s="12">
        <v>5509.74</v>
      </c>
      <c r="E188" s="12">
        <v>28534.68</v>
      </c>
      <c r="F188" s="12">
        <v>22629.91</v>
      </c>
      <c r="G188" s="12">
        <f t="shared" si="4"/>
        <v>5904.77</v>
      </c>
      <c r="H188" s="12">
        <f t="shared" si="5"/>
        <v>11414.51</v>
      </c>
      <c r="I188" s="8" t="s">
        <v>267</v>
      </c>
    </row>
    <row r="189" spans="2:9" x14ac:dyDescent="0.3">
      <c r="B189" s="8" t="s">
        <v>274</v>
      </c>
      <c r="C189" s="8" t="s">
        <v>275</v>
      </c>
      <c r="D189" s="12">
        <v>-156292.15</v>
      </c>
      <c r="E189" s="12">
        <v>0</v>
      </c>
      <c r="F189" s="12">
        <v>0</v>
      </c>
      <c r="G189" s="12">
        <f t="shared" si="4"/>
        <v>0</v>
      </c>
      <c r="H189" s="12">
        <f t="shared" si="5"/>
        <v>-156292.15</v>
      </c>
      <c r="I189" s="8" t="s">
        <v>267</v>
      </c>
    </row>
    <row r="190" spans="2:9" x14ac:dyDescent="0.3">
      <c r="B190" s="15" t="s">
        <v>276</v>
      </c>
      <c r="C190" s="15" t="s">
        <v>277</v>
      </c>
      <c r="D190" s="16"/>
      <c r="E190" s="16"/>
      <c r="F190" s="16"/>
      <c r="G190" s="16"/>
      <c r="H190" s="16"/>
      <c r="I190" s="15"/>
    </row>
    <row r="191" spans="2:9" x14ac:dyDescent="0.3">
      <c r="B191" s="8" t="s">
        <v>278</v>
      </c>
      <c r="C191" s="8" t="s">
        <v>279</v>
      </c>
      <c r="D191" s="12">
        <v>130758</v>
      </c>
      <c r="E191" s="12">
        <v>141493</v>
      </c>
      <c r="F191" s="12">
        <v>5000</v>
      </c>
      <c r="G191" s="12">
        <f t="shared" si="4"/>
        <v>136493</v>
      </c>
      <c r="H191" s="12">
        <f t="shared" si="5"/>
        <v>267251</v>
      </c>
      <c r="I191" s="8" t="s">
        <v>280</v>
      </c>
    </row>
    <row r="192" spans="2:9" x14ac:dyDescent="0.3">
      <c r="B192" s="8" t="s">
        <v>281</v>
      </c>
      <c r="C192" s="8" t="s">
        <v>282</v>
      </c>
      <c r="D192" s="12">
        <v>10134</v>
      </c>
      <c r="E192" s="12">
        <v>11310</v>
      </c>
      <c r="F192" s="12">
        <v>0</v>
      </c>
      <c r="G192" s="12">
        <f t="shared" si="4"/>
        <v>11310</v>
      </c>
      <c r="H192" s="12">
        <f t="shared" si="5"/>
        <v>21444</v>
      </c>
      <c r="I192" s="8" t="s">
        <v>280</v>
      </c>
    </row>
    <row r="193" spans="2:9" x14ac:dyDescent="0.3">
      <c r="B193" s="8" t="s">
        <v>283</v>
      </c>
      <c r="C193" s="8" t="s">
        <v>284</v>
      </c>
      <c r="D193" s="12">
        <v>15894.58</v>
      </c>
      <c r="E193" s="12">
        <v>17451.580000000002</v>
      </c>
      <c r="F193" s="12">
        <v>671</v>
      </c>
      <c r="G193" s="12">
        <f t="shared" si="4"/>
        <v>16780.580000000002</v>
      </c>
      <c r="H193" s="12">
        <f t="shared" si="5"/>
        <v>32675.160000000003</v>
      </c>
      <c r="I193" s="8" t="s">
        <v>280</v>
      </c>
    </row>
    <row r="194" spans="2:9" x14ac:dyDescent="0.3">
      <c r="B194" s="8" t="s">
        <v>570</v>
      </c>
      <c r="C194" s="8" t="s">
        <v>571</v>
      </c>
      <c r="D194" s="12">
        <v>0</v>
      </c>
      <c r="E194" s="12">
        <v>16</v>
      </c>
      <c r="F194" s="12">
        <v>0</v>
      </c>
      <c r="G194" s="12">
        <f t="shared" si="4"/>
        <v>16</v>
      </c>
      <c r="H194" s="12">
        <f t="shared" si="5"/>
        <v>16</v>
      </c>
      <c r="I194" s="8" t="s">
        <v>280</v>
      </c>
    </row>
    <row r="195" spans="2:9" x14ac:dyDescent="0.3">
      <c r="B195" s="8" t="s">
        <v>285</v>
      </c>
      <c r="C195" s="8" t="s">
        <v>286</v>
      </c>
      <c r="D195" s="12">
        <v>5988.16</v>
      </c>
      <c r="E195" s="12">
        <v>12426.58</v>
      </c>
      <c r="F195" s="12">
        <v>5988.16</v>
      </c>
      <c r="G195" s="12">
        <f t="shared" si="4"/>
        <v>6438.42</v>
      </c>
      <c r="H195" s="12">
        <f t="shared" si="5"/>
        <v>12426.58</v>
      </c>
      <c r="I195" s="8" t="s">
        <v>280</v>
      </c>
    </row>
    <row r="196" spans="2:9" x14ac:dyDescent="0.3">
      <c r="B196" s="8" t="s">
        <v>287</v>
      </c>
      <c r="C196" s="8" t="s">
        <v>288</v>
      </c>
      <c r="D196" s="12">
        <v>4627.66</v>
      </c>
      <c r="E196" s="12">
        <v>8848.59</v>
      </c>
      <c r="F196" s="12">
        <v>2393.75</v>
      </c>
      <c r="G196" s="12">
        <f t="shared" si="4"/>
        <v>6454.84</v>
      </c>
      <c r="H196" s="12">
        <f t="shared" si="5"/>
        <v>11082.5</v>
      </c>
      <c r="I196" s="8" t="s">
        <v>280</v>
      </c>
    </row>
    <row r="197" spans="2:9" x14ac:dyDescent="0.3">
      <c r="B197" s="8" t="s">
        <v>289</v>
      </c>
      <c r="C197" s="8" t="s">
        <v>290</v>
      </c>
      <c r="D197" s="12">
        <v>26306.240000000002</v>
      </c>
      <c r="E197" s="12">
        <v>7914</v>
      </c>
      <c r="F197" s="12">
        <v>19317.240000000002</v>
      </c>
      <c r="G197" s="12">
        <f t="shared" si="4"/>
        <v>-11403.240000000002</v>
      </c>
      <c r="H197" s="12">
        <f t="shared" si="5"/>
        <v>14903</v>
      </c>
      <c r="I197" s="8" t="s">
        <v>280</v>
      </c>
    </row>
    <row r="198" spans="2:9" x14ac:dyDescent="0.3">
      <c r="B198" s="8" t="s">
        <v>291</v>
      </c>
      <c r="C198" s="8" t="s">
        <v>292</v>
      </c>
      <c r="D198" s="12">
        <v>30.45</v>
      </c>
      <c r="E198" s="12">
        <v>1642.29</v>
      </c>
      <c r="F198" s="12">
        <v>0</v>
      </c>
      <c r="G198" s="12">
        <f t="shared" si="4"/>
        <v>1642.29</v>
      </c>
      <c r="H198" s="12">
        <f t="shared" si="5"/>
        <v>1672.74</v>
      </c>
      <c r="I198" s="8" t="s">
        <v>280</v>
      </c>
    </row>
    <row r="199" spans="2:9" x14ac:dyDescent="0.3">
      <c r="B199" s="8" t="s">
        <v>293</v>
      </c>
      <c r="C199" s="8" t="s">
        <v>294</v>
      </c>
      <c r="D199" s="12">
        <v>23537</v>
      </c>
      <c r="E199" s="12">
        <v>41787</v>
      </c>
      <c r="F199" s="12">
        <v>23537</v>
      </c>
      <c r="G199" s="12">
        <f t="shared" si="4"/>
        <v>18250</v>
      </c>
      <c r="H199" s="12">
        <f t="shared" si="5"/>
        <v>41787</v>
      </c>
      <c r="I199" s="8" t="s">
        <v>280</v>
      </c>
    </row>
    <row r="200" spans="2:9" x14ac:dyDescent="0.3">
      <c r="B200" s="8" t="s">
        <v>295</v>
      </c>
      <c r="C200" s="8" t="s">
        <v>296</v>
      </c>
      <c r="D200" s="12">
        <v>275</v>
      </c>
      <c r="E200" s="12">
        <v>9050</v>
      </c>
      <c r="F200" s="12">
        <v>0</v>
      </c>
      <c r="G200" s="12">
        <f t="shared" si="4"/>
        <v>9050</v>
      </c>
      <c r="H200" s="12">
        <f t="shared" si="5"/>
        <v>9325</v>
      </c>
      <c r="I200" s="8" t="s">
        <v>280</v>
      </c>
    </row>
    <row r="201" spans="2:9" x14ac:dyDescent="0.3">
      <c r="B201" s="8" t="s">
        <v>297</v>
      </c>
      <c r="C201" s="8" t="s">
        <v>298</v>
      </c>
      <c r="D201" s="12">
        <v>200</v>
      </c>
      <c r="E201" s="12">
        <v>1100</v>
      </c>
      <c r="F201" s="12">
        <v>0</v>
      </c>
      <c r="G201" s="12">
        <f t="shared" ref="G201:G264" si="6">E201-F201</f>
        <v>1100</v>
      </c>
      <c r="H201" s="12">
        <f t="shared" ref="H201:H264" si="7">D201+G201</f>
        <v>1300</v>
      </c>
      <c r="I201" s="8" t="s">
        <v>280</v>
      </c>
    </row>
    <row r="202" spans="2:9" x14ac:dyDescent="0.3">
      <c r="B202" s="8" t="s">
        <v>299</v>
      </c>
      <c r="C202" s="8" t="s">
        <v>300</v>
      </c>
      <c r="D202" s="12">
        <v>4038</v>
      </c>
      <c r="E202" s="12">
        <v>15477</v>
      </c>
      <c r="F202" s="12">
        <v>0</v>
      </c>
      <c r="G202" s="12">
        <f t="shared" si="6"/>
        <v>15477</v>
      </c>
      <c r="H202" s="12">
        <f t="shared" si="7"/>
        <v>19515</v>
      </c>
      <c r="I202" s="8" t="s">
        <v>280</v>
      </c>
    </row>
    <row r="203" spans="2:9" x14ac:dyDescent="0.3">
      <c r="B203" s="15" t="s">
        <v>301</v>
      </c>
      <c r="C203" s="15" t="s">
        <v>302</v>
      </c>
      <c r="D203" s="16"/>
      <c r="E203" s="16"/>
      <c r="F203" s="16"/>
      <c r="G203" s="16"/>
      <c r="H203" s="16"/>
      <c r="I203" s="15"/>
    </row>
    <row r="204" spans="2:9" x14ac:dyDescent="0.3">
      <c r="B204" s="8" t="s">
        <v>303</v>
      </c>
      <c r="C204" s="8" t="s">
        <v>304</v>
      </c>
      <c r="D204" s="12">
        <v>5892.6</v>
      </c>
      <c r="E204" s="12">
        <v>0</v>
      </c>
      <c r="F204" s="12">
        <v>0</v>
      </c>
      <c r="G204" s="12">
        <f t="shared" si="6"/>
        <v>0</v>
      </c>
      <c r="H204" s="12">
        <f t="shared" si="7"/>
        <v>5892.6</v>
      </c>
      <c r="I204" s="8" t="s">
        <v>305</v>
      </c>
    </row>
    <row r="205" spans="2:9" x14ac:dyDescent="0.3">
      <c r="B205" s="8" t="s">
        <v>306</v>
      </c>
      <c r="C205" s="8" t="s">
        <v>307</v>
      </c>
      <c r="D205" s="12">
        <v>12546</v>
      </c>
      <c r="E205" s="12">
        <v>12546</v>
      </c>
      <c r="F205" s="12">
        <v>0</v>
      </c>
      <c r="G205" s="12">
        <f t="shared" si="6"/>
        <v>12546</v>
      </c>
      <c r="H205" s="12">
        <f t="shared" si="7"/>
        <v>25092</v>
      </c>
      <c r="I205" s="8" t="s">
        <v>305</v>
      </c>
    </row>
    <row r="206" spans="2:9" x14ac:dyDescent="0.3">
      <c r="B206" s="8" t="s">
        <v>308</v>
      </c>
      <c r="C206" s="8" t="s">
        <v>309</v>
      </c>
      <c r="D206" s="12">
        <v>600</v>
      </c>
      <c r="E206" s="12">
        <v>0</v>
      </c>
      <c r="F206" s="12">
        <v>0</v>
      </c>
      <c r="G206" s="12">
        <f t="shared" si="6"/>
        <v>0</v>
      </c>
      <c r="H206" s="12">
        <f t="shared" si="7"/>
        <v>600</v>
      </c>
      <c r="I206" s="8" t="s">
        <v>305</v>
      </c>
    </row>
    <row r="207" spans="2:9" x14ac:dyDescent="0.3">
      <c r="B207" s="15" t="s">
        <v>310</v>
      </c>
      <c r="C207" s="15" t="s">
        <v>311</v>
      </c>
      <c r="D207" s="16"/>
      <c r="E207" s="16"/>
      <c r="F207" s="16"/>
      <c r="G207" s="16"/>
      <c r="H207" s="16"/>
      <c r="I207" s="15"/>
    </row>
    <row r="208" spans="2:9" x14ac:dyDescent="0.3">
      <c r="B208" s="8" t="s">
        <v>312</v>
      </c>
      <c r="C208" s="8" t="s">
        <v>313</v>
      </c>
      <c r="D208" s="12">
        <v>11021.32</v>
      </c>
      <c r="E208" s="12">
        <v>9954.41</v>
      </c>
      <c r="F208" s="12">
        <v>0</v>
      </c>
      <c r="G208" s="12">
        <f t="shared" si="6"/>
        <v>9954.41</v>
      </c>
      <c r="H208" s="12">
        <f t="shared" si="7"/>
        <v>20975.73</v>
      </c>
      <c r="I208" s="8" t="s">
        <v>314</v>
      </c>
    </row>
    <row r="209" spans="2:9" x14ac:dyDescent="0.3">
      <c r="B209" s="8" t="s">
        <v>315</v>
      </c>
      <c r="C209" s="8" t="s">
        <v>316</v>
      </c>
      <c r="D209" s="12">
        <v>84.56</v>
      </c>
      <c r="E209" s="12">
        <v>76.349999999999994</v>
      </c>
      <c r="F209" s="12">
        <v>0</v>
      </c>
      <c r="G209" s="12">
        <f t="shared" si="6"/>
        <v>76.349999999999994</v>
      </c>
      <c r="H209" s="12">
        <f t="shared" si="7"/>
        <v>160.91</v>
      </c>
      <c r="I209" s="8" t="s">
        <v>314</v>
      </c>
    </row>
    <row r="210" spans="2:9" x14ac:dyDescent="0.3">
      <c r="B210" s="8" t="s">
        <v>317</v>
      </c>
      <c r="C210" s="8" t="s">
        <v>318</v>
      </c>
      <c r="D210" s="12">
        <v>4730.68</v>
      </c>
      <c r="E210" s="12">
        <v>4272.57</v>
      </c>
      <c r="F210" s="12">
        <v>0</v>
      </c>
      <c r="G210" s="12">
        <f t="shared" si="6"/>
        <v>4272.57</v>
      </c>
      <c r="H210" s="12">
        <f t="shared" si="7"/>
        <v>9003.25</v>
      </c>
      <c r="I210" s="8" t="s">
        <v>314</v>
      </c>
    </row>
    <row r="211" spans="2:9" x14ac:dyDescent="0.3">
      <c r="B211" s="8" t="s">
        <v>319</v>
      </c>
      <c r="C211" s="8" t="s">
        <v>320</v>
      </c>
      <c r="D211" s="12">
        <v>474.89</v>
      </c>
      <c r="E211" s="12">
        <v>429.02</v>
      </c>
      <c r="F211" s="12">
        <v>0</v>
      </c>
      <c r="G211" s="12">
        <f t="shared" si="6"/>
        <v>429.02</v>
      </c>
      <c r="H211" s="12">
        <f t="shared" si="7"/>
        <v>903.91</v>
      </c>
      <c r="I211" s="8" t="s">
        <v>314</v>
      </c>
    </row>
    <row r="212" spans="2:9" x14ac:dyDescent="0.3">
      <c r="B212" s="8" t="s">
        <v>321</v>
      </c>
      <c r="C212" s="8" t="s">
        <v>322</v>
      </c>
      <c r="D212" s="12">
        <v>55.44</v>
      </c>
      <c r="E212" s="12">
        <v>145.07</v>
      </c>
      <c r="F212" s="12">
        <v>0</v>
      </c>
      <c r="G212" s="12">
        <f t="shared" si="6"/>
        <v>145.07</v>
      </c>
      <c r="H212" s="12">
        <f t="shared" si="7"/>
        <v>200.51</v>
      </c>
      <c r="I212" s="8" t="s">
        <v>314</v>
      </c>
    </row>
    <row r="213" spans="2:9" x14ac:dyDescent="0.3">
      <c r="B213" s="8" t="s">
        <v>323</v>
      </c>
      <c r="C213" s="8" t="s">
        <v>324</v>
      </c>
      <c r="D213" s="12">
        <v>54.55</v>
      </c>
      <c r="E213" s="12">
        <v>48.77</v>
      </c>
      <c r="F213" s="12">
        <v>0</v>
      </c>
      <c r="G213" s="12">
        <f t="shared" si="6"/>
        <v>48.77</v>
      </c>
      <c r="H213" s="12">
        <f t="shared" si="7"/>
        <v>103.32</v>
      </c>
      <c r="I213" s="8" t="s">
        <v>314</v>
      </c>
    </row>
    <row r="214" spans="2:9" x14ac:dyDescent="0.3">
      <c r="B214" s="8" t="s">
        <v>325</v>
      </c>
      <c r="C214" s="8" t="s">
        <v>326</v>
      </c>
      <c r="D214" s="12">
        <v>856.77</v>
      </c>
      <c r="E214" s="12">
        <v>822.88</v>
      </c>
      <c r="F214" s="12">
        <v>0</v>
      </c>
      <c r="G214" s="12">
        <f t="shared" si="6"/>
        <v>822.88</v>
      </c>
      <c r="H214" s="12">
        <f t="shared" si="7"/>
        <v>1679.65</v>
      </c>
      <c r="I214" s="8" t="s">
        <v>314</v>
      </c>
    </row>
    <row r="215" spans="2:9" x14ac:dyDescent="0.3">
      <c r="B215" s="15" t="s">
        <v>327</v>
      </c>
      <c r="C215" s="15" t="s">
        <v>328</v>
      </c>
      <c r="D215" s="16"/>
      <c r="E215" s="16"/>
      <c r="F215" s="16"/>
      <c r="G215" s="16"/>
      <c r="H215" s="16"/>
      <c r="I215" s="15"/>
    </row>
    <row r="216" spans="2:9" x14ac:dyDescent="0.3">
      <c r="B216" s="8" t="s">
        <v>329</v>
      </c>
      <c r="C216" s="8" t="s">
        <v>330</v>
      </c>
      <c r="D216" s="12">
        <v>161.97</v>
      </c>
      <c r="E216" s="12">
        <v>0</v>
      </c>
      <c r="F216" s="12">
        <v>0</v>
      </c>
      <c r="G216" s="12">
        <f t="shared" si="6"/>
        <v>0</v>
      </c>
      <c r="H216" s="12">
        <f t="shared" si="7"/>
        <v>161.97</v>
      </c>
      <c r="I216" s="8" t="s">
        <v>331</v>
      </c>
    </row>
    <row r="217" spans="2:9" x14ac:dyDescent="0.3">
      <c r="B217" s="8" t="s">
        <v>332</v>
      </c>
      <c r="C217" s="8" t="s">
        <v>333</v>
      </c>
      <c r="D217" s="12">
        <v>677</v>
      </c>
      <c r="E217" s="12">
        <v>2090.7800000000002</v>
      </c>
      <c r="F217" s="12">
        <v>0</v>
      </c>
      <c r="G217" s="12">
        <f t="shared" si="6"/>
        <v>2090.7800000000002</v>
      </c>
      <c r="H217" s="12">
        <f t="shared" si="7"/>
        <v>2767.78</v>
      </c>
      <c r="I217" s="8" t="s">
        <v>331</v>
      </c>
    </row>
    <row r="218" spans="2:9" x14ac:dyDescent="0.3">
      <c r="B218" s="8" t="s">
        <v>334</v>
      </c>
      <c r="C218" s="8" t="s">
        <v>335</v>
      </c>
      <c r="D218" s="12">
        <v>363</v>
      </c>
      <c r="E218" s="12">
        <v>347.9</v>
      </c>
      <c r="F218" s="12">
        <v>0</v>
      </c>
      <c r="G218" s="12">
        <f t="shared" si="6"/>
        <v>347.9</v>
      </c>
      <c r="H218" s="12">
        <f t="shared" si="7"/>
        <v>710.9</v>
      </c>
      <c r="I218" s="8" t="s">
        <v>331</v>
      </c>
    </row>
    <row r="219" spans="2:9" x14ac:dyDescent="0.3">
      <c r="B219" s="8" t="s">
        <v>336</v>
      </c>
      <c r="C219" s="8" t="s">
        <v>337</v>
      </c>
      <c r="D219" s="12">
        <v>1979.83</v>
      </c>
      <c r="E219" s="12">
        <v>25</v>
      </c>
      <c r="F219" s="12">
        <v>0</v>
      </c>
      <c r="G219" s="12">
        <f t="shared" si="6"/>
        <v>25</v>
      </c>
      <c r="H219" s="12">
        <f t="shared" si="7"/>
        <v>2004.83</v>
      </c>
      <c r="I219" s="8" t="s">
        <v>331</v>
      </c>
    </row>
    <row r="220" spans="2:9" x14ac:dyDescent="0.3">
      <c r="B220" s="8" t="s">
        <v>338</v>
      </c>
      <c r="C220" s="8" t="s">
        <v>339</v>
      </c>
      <c r="D220" s="12">
        <v>930</v>
      </c>
      <c r="E220" s="12">
        <v>0</v>
      </c>
      <c r="F220" s="12">
        <v>0</v>
      </c>
      <c r="G220" s="12">
        <f t="shared" si="6"/>
        <v>0</v>
      </c>
      <c r="H220" s="12">
        <f t="shared" si="7"/>
        <v>930</v>
      </c>
      <c r="I220" s="8" t="s">
        <v>331</v>
      </c>
    </row>
    <row r="221" spans="2:9" x14ac:dyDescent="0.3">
      <c r="B221" s="8" t="s">
        <v>340</v>
      </c>
      <c r="C221" s="8" t="s">
        <v>341</v>
      </c>
      <c r="D221" s="12">
        <v>246</v>
      </c>
      <c r="E221" s="12">
        <v>34</v>
      </c>
      <c r="F221" s="12">
        <v>0</v>
      </c>
      <c r="G221" s="12">
        <f t="shared" si="6"/>
        <v>34</v>
      </c>
      <c r="H221" s="12">
        <f t="shared" si="7"/>
        <v>280</v>
      </c>
      <c r="I221" s="8" t="s">
        <v>331</v>
      </c>
    </row>
    <row r="222" spans="2:9" x14ac:dyDescent="0.3">
      <c r="B222" s="8" t="s">
        <v>342</v>
      </c>
      <c r="C222" s="8" t="s">
        <v>343</v>
      </c>
      <c r="D222" s="12">
        <v>3407.86</v>
      </c>
      <c r="E222" s="12">
        <v>3237.78</v>
      </c>
      <c r="F222" s="12">
        <v>0</v>
      </c>
      <c r="G222" s="12">
        <f t="shared" si="6"/>
        <v>3237.78</v>
      </c>
      <c r="H222" s="12">
        <f t="shared" si="7"/>
        <v>6645.64</v>
      </c>
      <c r="I222" s="8" t="s">
        <v>331</v>
      </c>
    </row>
    <row r="223" spans="2:9" x14ac:dyDescent="0.3">
      <c r="B223" s="8" t="s">
        <v>344</v>
      </c>
      <c r="C223" s="8" t="s">
        <v>345</v>
      </c>
      <c r="D223" s="12">
        <v>3024.11</v>
      </c>
      <c r="E223" s="12">
        <v>1180</v>
      </c>
      <c r="F223" s="12">
        <v>0</v>
      </c>
      <c r="G223" s="12">
        <f t="shared" si="6"/>
        <v>1180</v>
      </c>
      <c r="H223" s="12">
        <f t="shared" si="7"/>
        <v>4204.1100000000006</v>
      </c>
      <c r="I223" s="8" t="s">
        <v>331</v>
      </c>
    </row>
    <row r="224" spans="2:9" x14ac:dyDescent="0.3">
      <c r="B224" s="8" t="s">
        <v>346</v>
      </c>
      <c r="C224" s="8" t="s">
        <v>347</v>
      </c>
      <c r="D224" s="12">
        <v>311.27</v>
      </c>
      <c r="E224" s="12">
        <v>0</v>
      </c>
      <c r="F224" s="12">
        <v>0</v>
      </c>
      <c r="G224" s="12">
        <f t="shared" si="6"/>
        <v>0</v>
      </c>
      <c r="H224" s="12">
        <f t="shared" si="7"/>
        <v>311.27</v>
      </c>
      <c r="I224" s="8" t="s">
        <v>331</v>
      </c>
    </row>
    <row r="225" spans="2:9" x14ac:dyDescent="0.3">
      <c r="B225" s="8" t="s">
        <v>348</v>
      </c>
      <c r="C225" s="8" t="s">
        <v>349</v>
      </c>
      <c r="D225" s="12">
        <v>1770</v>
      </c>
      <c r="E225" s="12">
        <v>245</v>
      </c>
      <c r="F225" s="12">
        <v>0</v>
      </c>
      <c r="G225" s="12">
        <f t="shared" si="6"/>
        <v>245</v>
      </c>
      <c r="H225" s="12">
        <f t="shared" si="7"/>
        <v>2015</v>
      </c>
      <c r="I225" s="8" t="s">
        <v>331</v>
      </c>
    </row>
    <row r="226" spans="2:9" x14ac:dyDescent="0.3">
      <c r="B226" s="8" t="s">
        <v>572</v>
      </c>
      <c r="C226" s="8" t="s">
        <v>573</v>
      </c>
      <c r="D226" s="12">
        <v>0</v>
      </c>
      <c r="E226" s="12">
        <v>400</v>
      </c>
      <c r="F226" s="12">
        <v>0</v>
      </c>
      <c r="G226" s="12">
        <f t="shared" si="6"/>
        <v>400</v>
      </c>
      <c r="H226" s="12">
        <f t="shared" si="7"/>
        <v>400</v>
      </c>
      <c r="I226" s="8" t="s">
        <v>331</v>
      </c>
    </row>
    <row r="227" spans="2:9" x14ac:dyDescent="0.3">
      <c r="B227" s="8" t="s">
        <v>574</v>
      </c>
      <c r="C227" s="8" t="s">
        <v>575</v>
      </c>
      <c r="D227" s="12">
        <v>0</v>
      </c>
      <c r="E227" s="12">
        <v>530</v>
      </c>
      <c r="F227" s="12">
        <v>0</v>
      </c>
      <c r="G227" s="12">
        <f t="shared" si="6"/>
        <v>530</v>
      </c>
      <c r="H227" s="12">
        <f t="shared" si="7"/>
        <v>530</v>
      </c>
      <c r="I227" s="8" t="s">
        <v>331</v>
      </c>
    </row>
    <row r="228" spans="2:9" x14ac:dyDescent="0.3">
      <c r="B228" s="8" t="s">
        <v>576</v>
      </c>
      <c r="C228" s="8" t="s">
        <v>577</v>
      </c>
      <c r="D228" s="12">
        <v>0</v>
      </c>
      <c r="E228" s="12">
        <v>1200</v>
      </c>
      <c r="F228" s="12">
        <v>0</v>
      </c>
      <c r="G228" s="12">
        <f t="shared" si="6"/>
        <v>1200</v>
      </c>
      <c r="H228" s="12">
        <f t="shared" si="7"/>
        <v>1200</v>
      </c>
      <c r="I228" s="8" t="s">
        <v>331</v>
      </c>
    </row>
    <row r="229" spans="2:9" x14ac:dyDescent="0.3">
      <c r="B229" s="8" t="s">
        <v>350</v>
      </c>
      <c r="C229" s="8" t="s">
        <v>351</v>
      </c>
      <c r="D229" s="12">
        <v>2000</v>
      </c>
      <c r="E229" s="12">
        <v>0</v>
      </c>
      <c r="F229" s="12">
        <v>0</v>
      </c>
      <c r="G229" s="12">
        <f t="shared" si="6"/>
        <v>0</v>
      </c>
      <c r="H229" s="12">
        <f t="shared" si="7"/>
        <v>2000</v>
      </c>
      <c r="I229" s="8" t="s">
        <v>331</v>
      </c>
    </row>
    <row r="230" spans="2:9" x14ac:dyDescent="0.3">
      <c r="B230" s="8" t="s">
        <v>352</v>
      </c>
      <c r="C230" s="8" t="s">
        <v>353</v>
      </c>
      <c r="D230" s="12">
        <v>15</v>
      </c>
      <c r="E230" s="12">
        <v>5490</v>
      </c>
      <c r="F230" s="12">
        <v>0</v>
      </c>
      <c r="G230" s="12">
        <f t="shared" si="6"/>
        <v>5490</v>
      </c>
      <c r="H230" s="12">
        <f t="shared" si="7"/>
        <v>5505</v>
      </c>
      <c r="I230" s="8" t="s">
        <v>331</v>
      </c>
    </row>
    <row r="231" spans="2:9" x14ac:dyDescent="0.3">
      <c r="B231" s="8" t="s">
        <v>578</v>
      </c>
      <c r="C231" s="8" t="s">
        <v>579</v>
      </c>
      <c r="D231" s="12">
        <v>0</v>
      </c>
      <c r="E231" s="12">
        <v>1146.52</v>
      </c>
      <c r="F231" s="12">
        <v>0</v>
      </c>
      <c r="G231" s="12">
        <f t="shared" si="6"/>
        <v>1146.52</v>
      </c>
      <c r="H231" s="12">
        <f t="shared" si="7"/>
        <v>1146.52</v>
      </c>
      <c r="I231" s="8" t="s">
        <v>331</v>
      </c>
    </row>
    <row r="232" spans="2:9" x14ac:dyDescent="0.3">
      <c r="B232" s="15" t="s">
        <v>354</v>
      </c>
      <c r="C232" s="15" t="s">
        <v>355</v>
      </c>
      <c r="D232" s="16"/>
      <c r="E232" s="16"/>
      <c r="F232" s="16"/>
      <c r="G232" s="16"/>
      <c r="H232" s="16"/>
      <c r="I232" s="15"/>
    </row>
    <row r="233" spans="2:9" x14ac:dyDescent="0.3">
      <c r="B233" s="8" t="s">
        <v>356</v>
      </c>
      <c r="C233" s="8" t="s">
        <v>357</v>
      </c>
      <c r="D233" s="12">
        <v>120</v>
      </c>
      <c r="E233" s="12">
        <v>0</v>
      </c>
      <c r="F233" s="12">
        <v>0</v>
      </c>
      <c r="G233" s="12">
        <f t="shared" si="6"/>
        <v>0</v>
      </c>
      <c r="H233" s="12">
        <f t="shared" si="7"/>
        <v>120</v>
      </c>
      <c r="I233" s="8" t="s">
        <v>358</v>
      </c>
    </row>
    <row r="234" spans="2:9" x14ac:dyDescent="0.3">
      <c r="B234" s="8" t="s">
        <v>359</v>
      </c>
      <c r="C234" s="8" t="s">
        <v>360</v>
      </c>
      <c r="D234" s="12">
        <v>1417</v>
      </c>
      <c r="E234" s="12">
        <v>1432</v>
      </c>
      <c r="F234" s="12">
        <v>0</v>
      </c>
      <c r="G234" s="12">
        <f t="shared" si="6"/>
        <v>1432</v>
      </c>
      <c r="H234" s="12">
        <f t="shared" si="7"/>
        <v>2849</v>
      </c>
      <c r="I234" s="8" t="s">
        <v>358</v>
      </c>
    </row>
    <row r="235" spans="2:9" x14ac:dyDescent="0.3">
      <c r="B235" s="8" t="s">
        <v>580</v>
      </c>
      <c r="C235" s="8" t="s">
        <v>581</v>
      </c>
      <c r="D235" s="12">
        <v>0</v>
      </c>
      <c r="E235" s="12">
        <v>20</v>
      </c>
      <c r="F235" s="12">
        <v>0</v>
      </c>
      <c r="G235" s="12">
        <f t="shared" si="6"/>
        <v>20</v>
      </c>
      <c r="H235" s="12">
        <f t="shared" si="7"/>
        <v>20</v>
      </c>
      <c r="I235" s="8" t="s">
        <v>358</v>
      </c>
    </row>
    <row r="236" spans="2:9" x14ac:dyDescent="0.3">
      <c r="B236" s="8" t="s">
        <v>361</v>
      </c>
      <c r="C236" s="8" t="s">
        <v>362</v>
      </c>
      <c r="D236" s="12">
        <v>620</v>
      </c>
      <c r="E236" s="12">
        <v>515.04</v>
      </c>
      <c r="F236" s="12">
        <v>0</v>
      </c>
      <c r="G236" s="12">
        <f t="shared" si="6"/>
        <v>515.04</v>
      </c>
      <c r="H236" s="12">
        <f t="shared" si="7"/>
        <v>1135.04</v>
      </c>
      <c r="I236" s="8" t="s">
        <v>358</v>
      </c>
    </row>
    <row r="237" spans="2:9" x14ac:dyDescent="0.3">
      <c r="B237" s="8" t="s">
        <v>363</v>
      </c>
      <c r="C237" s="8" t="s">
        <v>364</v>
      </c>
      <c r="D237" s="12">
        <v>13968.61</v>
      </c>
      <c r="E237" s="12">
        <v>12077.29</v>
      </c>
      <c r="F237" s="12">
        <v>0</v>
      </c>
      <c r="G237" s="12">
        <f t="shared" si="6"/>
        <v>12077.29</v>
      </c>
      <c r="H237" s="12">
        <f t="shared" si="7"/>
        <v>26045.9</v>
      </c>
      <c r="I237" s="8" t="s">
        <v>358</v>
      </c>
    </row>
    <row r="238" spans="2:9" x14ac:dyDescent="0.3">
      <c r="B238" s="8" t="s">
        <v>365</v>
      </c>
      <c r="C238" s="8" t="s">
        <v>366</v>
      </c>
      <c r="D238" s="12">
        <v>581.44000000000005</v>
      </c>
      <c r="E238" s="12">
        <v>73.97</v>
      </c>
      <c r="F238" s="12">
        <v>0</v>
      </c>
      <c r="G238" s="12">
        <f t="shared" si="6"/>
        <v>73.97</v>
      </c>
      <c r="H238" s="12">
        <f t="shared" si="7"/>
        <v>655.41000000000008</v>
      </c>
      <c r="I238" s="8" t="s">
        <v>358</v>
      </c>
    </row>
    <row r="239" spans="2:9" x14ac:dyDescent="0.3">
      <c r="B239" s="8" t="s">
        <v>367</v>
      </c>
      <c r="C239" s="8" t="s">
        <v>368</v>
      </c>
      <c r="D239" s="12">
        <v>130</v>
      </c>
      <c r="E239" s="12">
        <v>30</v>
      </c>
      <c r="F239" s="12">
        <v>0</v>
      </c>
      <c r="G239" s="12">
        <f t="shared" si="6"/>
        <v>30</v>
      </c>
      <c r="H239" s="12">
        <f t="shared" si="7"/>
        <v>160</v>
      </c>
      <c r="I239" s="8" t="s">
        <v>358</v>
      </c>
    </row>
    <row r="240" spans="2:9" x14ac:dyDescent="0.3">
      <c r="B240" s="15" t="s">
        <v>369</v>
      </c>
      <c r="C240" s="15" t="s">
        <v>370</v>
      </c>
      <c r="D240" s="16"/>
      <c r="E240" s="16"/>
      <c r="F240" s="16"/>
      <c r="G240" s="16"/>
      <c r="H240" s="16"/>
      <c r="I240" s="15"/>
    </row>
    <row r="241" spans="2:9" x14ac:dyDescent="0.3">
      <c r="B241" s="8" t="s">
        <v>582</v>
      </c>
      <c r="C241" s="8" t="s">
        <v>583</v>
      </c>
      <c r="D241" s="12">
        <v>0</v>
      </c>
      <c r="E241" s="12">
        <v>333</v>
      </c>
      <c r="F241" s="12">
        <v>0</v>
      </c>
      <c r="G241" s="12">
        <f t="shared" si="6"/>
        <v>333</v>
      </c>
      <c r="H241" s="12">
        <f t="shared" si="7"/>
        <v>333</v>
      </c>
      <c r="I241" s="8" t="s">
        <v>373</v>
      </c>
    </row>
    <row r="242" spans="2:9" x14ac:dyDescent="0.3">
      <c r="B242" s="8" t="s">
        <v>371</v>
      </c>
      <c r="C242" s="8" t="s">
        <v>372</v>
      </c>
      <c r="D242" s="12">
        <v>2776.52</v>
      </c>
      <c r="E242" s="12">
        <v>2620.87</v>
      </c>
      <c r="F242" s="12">
        <v>0</v>
      </c>
      <c r="G242" s="12">
        <f t="shared" si="6"/>
        <v>2620.87</v>
      </c>
      <c r="H242" s="12">
        <f t="shared" si="7"/>
        <v>5397.3899999999994</v>
      </c>
      <c r="I242" s="8" t="s">
        <v>373</v>
      </c>
    </row>
    <row r="243" spans="2:9" x14ac:dyDescent="0.3">
      <c r="B243" s="8" t="s">
        <v>374</v>
      </c>
      <c r="C243" s="8" t="s">
        <v>375</v>
      </c>
      <c r="D243" s="12">
        <v>509.6</v>
      </c>
      <c r="E243" s="12">
        <v>429.68</v>
      </c>
      <c r="F243" s="12">
        <v>0</v>
      </c>
      <c r="G243" s="12">
        <f t="shared" si="6"/>
        <v>429.68</v>
      </c>
      <c r="H243" s="12">
        <f t="shared" si="7"/>
        <v>939.28</v>
      </c>
      <c r="I243" s="8" t="s">
        <v>373</v>
      </c>
    </row>
    <row r="244" spans="2:9" x14ac:dyDescent="0.3">
      <c r="B244" s="8" t="s">
        <v>376</v>
      </c>
      <c r="C244" s="8" t="s">
        <v>377</v>
      </c>
      <c r="D244" s="12">
        <v>501.74</v>
      </c>
      <c r="E244" s="12">
        <v>545.38</v>
      </c>
      <c r="F244" s="12">
        <v>0</v>
      </c>
      <c r="G244" s="12">
        <f t="shared" si="6"/>
        <v>545.38</v>
      </c>
      <c r="H244" s="12">
        <f t="shared" si="7"/>
        <v>1047.1199999999999</v>
      </c>
      <c r="I244" s="8" t="s">
        <v>373</v>
      </c>
    </row>
    <row r="245" spans="2:9" x14ac:dyDescent="0.3">
      <c r="B245" s="8" t="s">
        <v>378</v>
      </c>
      <c r="C245" s="8" t="s">
        <v>379</v>
      </c>
      <c r="D245" s="12">
        <v>347.96</v>
      </c>
      <c r="E245" s="12">
        <v>409.6</v>
      </c>
      <c r="F245" s="12">
        <v>0</v>
      </c>
      <c r="G245" s="12">
        <f t="shared" si="6"/>
        <v>409.6</v>
      </c>
      <c r="H245" s="12">
        <f t="shared" si="7"/>
        <v>757.56</v>
      </c>
      <c r="I245" s="8" t="s">
        <v>373</v>
      </c>
    </row>
    <row r="246" spans="2:9" x14ac:dyDescent="0.3">
      <c r="B246" s="8" t="s">
        <v>380</v>
      </c>
      <c r="C246" s="8" t="s">
        <v>381</v>
      </c>
      <c r="D246" s="12">
        <v>173.91</v>
      </c>
      <c r="E246" s="12">
        <v>254.78</v>
      </c>
      <c r="F246" s="12">
        <v>0</v>
      </c>
      <c r="G246" s="12">
        <f t="shared" si="6"/>
        <v>254.78</v>
      </c>
      <c r="H246" s="12">
        <f t="shared" si="7"/>
        <v>428.69</v>
      </c>
      <c r="I246" s="8" t="s">
        <v>373</v>
      </c>
    </row>
    <row r="247" spans="2:9" x14ac:dyDescent="0.3">
      <c r="B247" s="8" t="s">
        <v>382</v>
      </c>
      <c r="C247" s="8" t="s">
        <v>383</v>
      </c>
      <c r="D247" s="12">
        <v>518.26</v>
      </c>
      <c r="E247" s="12">
        <v>527.74</v>
      </c>
      <c r="F247" s="12">
        <v>0</v>
      </c>
      <c r="G247" s="12">
        <f t="shared" si="6"/>
        <v>527.74</v>
      </c>
      <c r="H247" s="12">
        <f t="shared" si="7"/>
        <v>1046</v>
      </c>
      <c r="I247" s="8" t="s">
        <v>373</v>
      </c>
    </row>
    <row r="248" spans="2:9" x14ac:dyDescent="0.3">
      <c r="B248" s="8" t="s">
        <v>384</v>
      </c>
      <c r="C248" s="8" t="s">
        <v>385</v>
      </c>
      <c r="D248" s="12">
        <v>1300.03</v>
      </c>
      <c r="E248" s="12">
        <v>1172.96</v>
      </c>
      <c r="F248" s="12">
        <v>0</v>
      </c>
      <c r="G248" s="12">
        <f t="shared" si="6"/>
        <v>1172.96</v>
      </c>
      <c r="H248" s="12">
        <f t="shared" si="7"/>
        <v>2472.9899999999998</v>
      </c>
      <c r="I248" s="8" t="s">
        <v>373</v>
      </c>
    </row>
    <row r="249" spans="2:9" x14ac:dyDescent="0.3">
      <c r="B249" s="8" t="s">
        <v>584</v>
      </c>
      <c r="C249" s="8" t="s">
        <v>585</v>
      </c>
      <c r="D249" s="12">
        <v>0</v>
      </c>
      <c r="E249" s="12">
        <v>317.02999999999997</v>
      </c>
      <c r="F249" s="12">
        <v>0</v>
      </c>
      <c r="G249" s="12">
        <f t="shared" si="6"/>
        <v>317.02999999999997</v>
      </c>
      <c r="H249" s="12">
        <f t="shared" si="7"/>
        <v>317.02999999999997</v>
      </c>
      <c r="I249" s="8" t="s">
        <v>373</v>
      </c>
    </row>
    <row r="250" spans="2:9" x14ac:dyDescent="0.3">
      <c r="B250" s="8" t="s">
        <v>386</v>
      </c>
      <c r="C250" s="8" t="s">
        <v>387</v>
      </c>
      <c r="D250" s="12">
        <v>260.87</v>
      </c>
      <c r="E250" s="12">
        <v>260.87</v>
      </c>
      <c r="F250" s="12">
        <v>0</v>
      </c>
      <c r="G250" s="12">
        <f t="shared" si="6"/>
        <v>260.87</v>
      </c>
      <c r="H250" s="12">
        <f t="shared" si="7"/>
        <v>521.74</v>
      </c>
      <c r="I250" s="8" t="s">
        <v>373</v>
      </c>
    </row>
    <row r="251" spans="2:9" x14ac:dyDescent="0.3">
      <c r="B251" s="8" t="s">
        <v>586</v>
      </c>
      <c r="C251" s="8" t="s">
        <v>587</v>
      </c>
      <c r="D251" s="12">
        <v>0</v>
      </c>
      <c r="E251" s="12">
        <v>1665</v>
      </c>
      <c r="F251" s="12">
        <v>0</v>
      </c>
      <c r="G251" s="12">
        <f t="shared" si="6"/>
        <v>1665</v>
      </c>
      <c r="H251" s="12">
        <f t="shared" si="7"/>
        <v>1665</v>
      </c>
      <c r="I251" s="8" t="s">
        <v>373</v>
      </c>
    </row>
    <row r="252" spans="2:9" x14ac:dyDescent="0.3">
      <c r="B252" s="8" t="s">
        <v>388</v>
      </c>
      <c r="C252" s="8" t="s">
        <v>389</v>
      </c>
      <c r="D252" s="12">
        <v>434.26</v>
      </c>
      <c r="E252" s="12">
        <v>433.93</v>
      </c>
      <c r="F252" s="12">
        <v>0</v>
      </c>
      <c r="G252" s="12">
        <f t="shared" si="6"/>
        <v>433.93</v>
      </c>
      <c r="H252" s="12">
        <f t="shared" si="7"/>
        <v>868.19</v>
      </c>
      <c r="I252" s="8" t="s">
        <v>373</v>
      </c>
    </row>
    <row r="253" spans="2:9" x14ac:dyDescent="0.3">
      <c r="B253" s="15" t="s">
        <v>390</v>
      </c>
      <c r="C253" s="15" t="s">
        <v>391</v>
      </c>
      <c r="D253" s="16"/>
      <c r="E253" s="16"/>
      <c r="F253" s="16"/>
      <c r="G253" s="16"/>
      <c r="H253" s="16"/>
      <c r="I253" s="15"/>
    </row>
    <row r="254" spans="2:9" x14ac:dyDescent="0.3">
      <c r="B254" s="8" t="s">
        <v>588</v>
      </c>
      <c r="C254" s="8" t="s">
        <v>589</v>
      </c>
      <c r="D254" s="12">
        <v>0</v>
      </c>
      <c r="E254" s="12">
        <v>985.8</v>
      </c>
      <c r="F254" s="12">
        <v>0</v>
      </c>
      <c r="G254" s="12">
        <f t="shared" si="6"/>
        <v>985.8</v>
      </c>
      <c r="H254" s="12">
        <f t="shared" si="7"/>
        <v>985.8</v>
      </c>
      <c r="I254" s="8" t="s">
        <v>394</v>
      </c>
    </row>
    <row r="255" spans="2:9" x14ac:dyDescent="0.3">
      <c r="B255" s="8" t="s">
        <v>392</v>
      </c>
      <c r="C255" s="8" t="s">
        <v>393</v>
      </c>
      <c r="D255" s="12">
        <v>15502.11</v>
      </c>
      <c r="E255" s="12">
        <v>15502.11</v>
      </c>
      <c r="F255" s="12">
        <v>0</v>
      </c>
      <c r="G255" s="12">
        <f t="shared" si="6"/>
        <v>15502.11</v>
      </c>
      <c r="H255" s="12">
        <f t="shared" si="7"/>
        <v>31004.22</v>
      </c>
      <c r="I255" s="8" t="s">
        <v>394</v>
      </c>
    </row>
    <row r="256" spans="2:9" x14ac:dyDescent="0.3">
      <c r="B256" s="15" t="s">
        <v>395</v>
      </c>
      <c r="C256" s="15" t="s">
        <v>396</v>
      </c>
      <c r="D256" s="16"/>
      <c r="E256" s="16"/>
      <c r="F256" s="16"/>
      <c r="G256" s="16"/>
      <c r="H256" s="16"/>
      <c r="I256" s="15"/>
    </row>
    <row r="257" spans="2:9" x14ac:dyDescent="0.3">
      <c r="B257" s="8" t="s">
        <v>397</v>
      </c>
      <c r="C257" s="8" t="s">
        <v>398</v>
      </c>
      <c r="D257" s="12">
        <v>51510.11</v>
      </c>
      <c r="E257" s="12">
        <v>126487.94</v>
      </c>
      <c r="F257" s="12">
        <v>0</v>
      </c>
      <c r="G257" s="12">
        <f t="shared" si="6"/>
        <v>126487.94</v>
      </c>
      <c r="H257" s="12">
        <f t="shared" si="7"/>
        <v>177998.05</v>
      </c>
      <c r="I257" s="8" t="s">
        <v>399</v>
      </c>
    </row>
    <row r="258" spans="2:9" x14ac:dyDescent="0.3">
      <c r="B258" s="8" t="s">
        <v>400</v>
      </c>
      <c r="C258" s="8" t="s">
        <v>401</v>
      </c>
      <c r="D258" s="12">
        <v>12389</v>
      </c>
      <c r="E258" s="12">
        <v>101200.18</v>
      </c>
      <c r="F258" s="12">
        <v>0</v>
      </c>
      <c r="G258" s="12">
        <f t="shared" si="6"/>
        <v>101200.18</v>
      </c>
      <c r="H258" s="12">
        <f t="shared" si="7"/>
        <v>113589.18</v>
      </c>
      <c r="I258" s="8" t="s">
        <v>399</v>
      </c>
    </row>
    <row r="259" spans="2:9" x14ac:dyDescent="0.3">
      <c r="B259" s="8" t="s">
        <v>402</v>
      </c>
      <c r="C259" s="8" t="s">
        <v>403</v>
      </c>
      <c r="D259" s="12">
        <v>561.83000000000004</v>
      </c>
      <c r="E259" s="12">
        <v>397.39</v>
      </c>
      <c r="F259" s="12">
        <v>0</v>
      </c>
      <c r="G259" s="12">
        <f t="shared" si="6"/>
        <v>397.39</v>
      </c>
      <c r="H259" s="12">
        <f t="shared" si="7"/>
        <v>959.22</v>
      </c>
      <c r="I259" s="8" t="s">
        <v>399</v>
      </c>
    </row>
    <row r="260" spans="2:9" x14ac:dyDescent="0.3">
      <c r="B260" s="8" t="s">
        <v>590</v>
      </c>
      <c r="C260" s="8" t="s">
        <v>591</v>
      </c>
      <c r="D260" s="12">
        <v>0</v>
      </c>
      <c r="E260" s="12">
        <v>85</v>
      </c>
      <c r="F260" s="12">
        <v>0</v>
      </c>
      <c r="G260" s="12">
        <f t="shared" si="6"/>
        <v>85</v>
      </c>
      <c r="H260" s="12">
        <f t="shared" si="7"/>
        <v>85</v>
      </c>
      <c r="I260" s="8" t="s">
        <v>399</v>
      </c>
    </row>
    <row r="261" spans="2:9" x14ac:dyDescent="0.3">
      <c r="B261" s="8" t="s">
        <v>404</v>
      </c>
      <c r="C261" s="8" t="s">
        <v>405</v>
      </c>
      <c r="D261" s="12">
        <v>2070</v>
      </c>
      <c r="E261" s="12">
        <v>0</v>
      </c>
      <c r="F261" s="12">
        <v>0</v>
      </c>
      <c r="G261" s="12">
        <f t="shared" si="6"/>
        <v>0</v>
      </c>
      <c r="H261" s="12">
        <f t="shared" si="7"/>
        <v>2070</v>
      </c>
      <c r="I261" s="8" t="s">
        <v>399</v>
      </c>
    </row>
    <row r="262" spans="2:9" x14ac:dyDescent="0.3">
      <c r="B262" s="8" t="s">
        <v>592</v>
      </c>
      <c r="C262" s="8" t="s">
        <v>593</v>
      </c>
      <c r="D262" s="12">
        <v>0</v>
      </c>
      <c r="E262" s="12">
        <v>375</v>
      </c>
      <c r="F262" s="12">
        <v>0</v>
      </c>
      <c r="G262" s="12">
        <f t="shared" si="6"/>
        <v>375</v>
      </c>
      <c r="H262" s="12">
        <f t="shared" si="7"/>
        <v>375</v>
      </c>
      <c r="I262" s="8" t="s">
        <v>399</v>
      </c>
    </row>
    <row r="263" spans="2:9" x14ac:dyDescent="0.3">
      <c r="B263" s="8" t="s">
        <v>594</v>
      </c>
      <c r="C263" s="8" t="s">
        <v>595</v>
      </c>
      <c r="D263" s="12">
        <v>0</v>
      </c>
      <c r="E263" s="12">
        <v>22</v>
      </c>
      <c r="F263" s="12">
        <v>0</v>
      </c>
      <c r="G263" s="12">
        <f t="shared" si="6"/>
        <v>22</v>
      </c>
      <c r="H263" s="12">
        <f t="shared" si="7"/>
        <v>22</v>
      </c>
      <c r="I263" s="8" t="s">
        <v>399</v>
      </c>
    </row>
    <row r="264" spans="2:9" x14ac:dyDescent="0.3">
      <c r="B264" s="8" t="s">
        <v>406</v>
      </c>
      <c r="C264" s="8" t="s">
        <v>407</v>
      </c>
      <c r="D264" s="12">
        <v>26</v>
      </c>
      <c r="E264" s="12">
        <v>3217.83</v>
      </c>
      <c r="F264" s="12">
        <v>0</v>
      </c>
      <c r="G264" s="12">
        <f t="shared" si="6"/>
        <v>3217.83</v>
      </c>
      <c r="H264" s="12">
        <f t="shared" si="7"/>
        <v>3243.83</v>
      </c>
      <c r="I264" s="8" t="s">
        <v>399</v>
      </c>
    </row>
    <row r="265" spans="2:9" x14ac:dyDescent="0.3">
      <c r="B265" s="15" t="s">
        <v>408</v>
      </c>
      <c r="C265" s="15" t="s">
        <v>409</v>
      </c>
      <c r="D265" s="16"/>
      <c r="E265" s="16"/>
      <c r="F265" s="16"/>
      <c r="G265" s="16"/>
      <c r="H265" s="16"/>
      <c r="I265" s="15"/>
    </row>
    <row r="266" spans="2:9" x14ac:dyDescent="0.3">
      <c r="B266" s="8" t="s">
        <v>410</v>
      </c>
      <c r="C266" s="8" t="s">
        <v>411</v>
      </c>
      <c r="D266" s="12">
        <v>2700.46</v>
      </c>
      <c r="E266" s="12">
        <v>2035.17</v>
      </c>
      <c r="F266" s="12">
        <v>0</v>
      </c>
      <c r="G266" s="12">
        <f t="shared" ref="G266:G284" si="8">E266-F266</f>
        <v>2035.17</v>
      </c>
      <c r="H266" s="12">
        <f t="shared" ref="H266:H284" si="9">D266+G266</f>
        <v>4735.63</v>
      </c>
      <c r="I266" s="8" t="s">
        <v>412</v>
      </c>
    </row>
    <row r="267" spans="2:9" x14ac:dyDescent="0.3">
      <c r="B267" s="8" t="s">
        <v>413</v>
      </c>
      <c r="C267" s="8" t="s">
        <v>414</v>
      </c>
      <c r="D267" s="12">
        <v>6552.74</v>
      </c>
      <c r="E267" s="12">
        <v>0</v>
      </c>
      <c r="F267" s="12">
        <v>0</v>
      </c>
      <c r="G267" s="12">
        <f t="shared" si="8"/>
        <v>0</v>
      </c>
      <c r="H267" s="12">
        <f t="shared" si="9"/>
        <v>6552.74</v>
      </c>
      <c r="I267" s="8" t="s">
        <v>412</v>
      </c>
    </row>
    <row r="268" spans="2:9" x14ac:dyDescent="0.3">
      <c r="B268" s="8" t="s">
        <v>596</v>
      </c>
      <c r="C268" s="8" t="s">
        <v>597</v>
      </c>
      <c r="D268" s="12">
        <v>0</v>
      </c>
      <c r="E268" s="12">
        <v>12000</v>
      </c>
      <c r="F268" s="12">
        <v>0</v>
      </c>
      <c r="G268" s="12">
        <f t="shared" si="8"/>
        <v>12000</v>
      </c>
      <c r="H268" s="12">
        <f t="shared" si="9"/>
        <v>12000</v>
      </c>
      <c r="I268" s="8" t="s">
        <v>412</v>
      </c>
    </row>
    <row r="269" spans="2:9" x14ac:dyDescent="0.3">
      <c r="B269" s="8" t="s">
        <v>598</v>
      </c>
      <c r="C269" s="8" t="s">
        <v>599</v>
      </c>
      <c r="D269" s="12">
        <v>0</v>
      </c>
      <c r="E269" s="12">
        <v>3484.05</v>
      </c>
      <c r="F269" s="12">
        <v>0</v>
      </c>
      <c r="G269" s="12">
        <f t="shared" si="8"/>
        <v>3484.05</v>
      </c>
      <c r="H269" s="12">
        <f t="shared" si="9"/>
        <v>3484.05</v>
      </c>
      <c r="I269" s="8" t="s">
        <v>412</v>
      </c>
    </row>
    <row r="270" spans="2:9" x14ac:dyDescent="0.3">
      <c r="B270" s="8" t="s">
        <v>415</v>
      </c>
      <c r="C270" s="8" t="s">
        <v>416</v>
      </c>
      <c r="D270" s="12">
        <v>1000</v>
      </c>
      <c r="E270" s="12">
        <v>1200</v>
      </c>
      <c r="F270" s="12">
        <v>0</v>
      </c>
      <c r="G270" s="12">
        <f t="shared" si="8"/>
        <v>1200</v>
      </c>
      <c r="H270" s="12">
        <f t="shared" si="9"/>
        <v>2200</v>
      </c>
      <c r="I270" s="8" t="s">
        <v>412</v>
      </c>
    </row>
    <row r="271" spans="2:9" x14ac:dyDescent="0.3">
      <c r="B271" s="8" t="s">
        <v>417</v>
      </c>
      <c r="C271" s="8" t="s">
        <v>418</v>
      </c>
      <c r="D271" s="12">
        <v>1800</v>
      </c>
      <c r="E271" s="12">
        <v>2248.25</v>
      </c>
      <c r="F271" s="12">
        <v>0</v>
      </c>
      <c r="G271" s="12">
        <f t="shared" si="8"/>
        <v>2248.25</v>
      </c>
      <c r="H271" s="12">
        <f t="shared" si="9"/>
        <v>4048.25</v>
      </c>
      <c r="I271" s="8" t="s">
        <v>412</v>
      </c>
    </row>
    <row r="272" spans="2:9" x14ac:dyDescent="0.3">
      <c r="B272" s="15" t="s">
        <v>419</v>
      </c>
      <c r="C272" s="15" t="s">
        <v>420</v>
      </c>
      <c r="D272" s="16"/>
      <c r="E272" s="16"/>
      <c r="F272" s="16"/>
      <c r="G272" s="16"/>
      <c r="H272" s="16"/>
      <c r="I272" s="15"/>
    </row>
    <row r="273" spans="1:9" x14ac:dyDescent="0.3">
      <c r="B273" s="8" t="s">
        <v>421</v>
      </c>
      <c r="C273" s="8" t="s">
        <v>422</v>
      </c>
      <c r="D273" s="12">
        <v>64000</v>
      </c>
      <c r="E273" s="12">
        <v>107704.2</v>
      </c>
      <c r="F273" s="12">
        <v>64000</v>
      </c>
      <c r="G273" s="12">
        <f t="shared" si="8"/>
        <v>43704.2</v>
      </c>
      <c r="H273" s="12">
        <f t="shared" si="9"/>
        <v>107704.2</v>
      </c>
      <c r="I273" s="8" t="s">
        <v>423</v>
      </c>
    </row>
    <row r="274" spans="1:9" x14ac:dyDescent="0.3">
      <c r="B274" s="8" t="s">
        <v>600</v>
      </c>
      <c r="C274" s="8" t="s">
        <v>601</v>
      </c>
      <c r="D274" s="12">
        <v>0</v>
      </c>
      <c r="E274" s="12">
        <v>500</v>
      </c>
      <c r="F274" s="12">
        <v>0</v>
      </c>
      <c r="G274" s="12">
        <f t="shared" si="8"/>
        <v>500</v>
      </c>
      <c r="H274" s="12">
        <f t="shared" si="9"/>
        <v>500</v>
      </c>
      <c r="I274" s="8" t="s">
        <v>423</v>
      </c>
    </row>
    <row r="275" spans="1:9" x14ac:dyDescent="0.3">
      <c r="B275" s="8" t="s">
        <v>424</v>
      </c>
      <c r="C275" s="8" t="s">
        <v>425</v>
      </c>
      <c r="D275" s="12">
        <v>286.7</v>
      </c>
      <c r="E275" s="12">
        <v>56</v>
      </c>
      <c r="F275" s="12">
        <v>0</v>
      </c>
      <c r="G275" s="12">
        <f t="shared" si="8"/>
        <v>56</v>
      </c>
      <c r="H275" s="12">
        <f t="shared" si="9"/>
        <v>342.7</v>
      </c>
      <c r="I275" s="8" t="s">
        <v>423</v>
      </c>
    </row>
    <row r="276" spans="1:9" x14ac:dyDescent="0.3">
      <c r="B276" s="8" t="s">
        <v>426</v>
      </c>
      <c r="C276" s="8" t="s">
        <v>427</v>
      </c>
      <c r="D276" s="12">
        <v>3646.78</v>
      </c>
      <c r="E276" s="12">
        <v>6550.81</v>
      </c>
      <c r="F276" s="12">
        <v>3000</v>
      </c>
      <c r="G276" s="12">
        <f t="shared" si="8"/>
        <v>3550.8100000000004</v>
      </c>
      <c r="H276" s="12">
        <f t="shared" si="9"/>
        <v>7197.59</v>
      </c>
      <c r="I276" s="8" t="s">
        <v>423</v>
      </c>
    </row>
    <row r="277" spans="1:9" x14ac:dyDescent="0.3">
      <c r="B277" s="8" t="s">
        <v>428</v>
      </c>
      <c r="C277" s="8" t="s">
        <v>429</v>
      </c>
      <c r="D277" s="12">
        <v>2611.27</v>
      </c>
      <c r="E277" s="12">
        <v>140</v>
      </c>
      <c r="F277" s="12">
        <v>0</v>
      </c>
      <c r="G277" s="12">
        <f t="shared" si="8"/>
        <v>140</v>
      </c>
      <c r="H277" s="12">
        <f t="shared" si="9"/>
        <v>2751.27</v>
      </c>
      <c r="I277" s="8" t="s">
        <v>423</v>
      </c>
    </row>
    <row r="278" spans="1:9" x14ac:dyDescent="0.3">
      <c r="B278" s="15" t="s">
        <v>602</v>
      </c>
      <c r="C278" s="15" t="s">
        <v>603</v>
      </c>
      <c r="D278" s="16"/>
      <c r="E278" s="16"/>
      <c r="F278" s="16"/>
      <c r="G278" s="16"/>
      <c r="H278" s="16"/>
      <c r="I278" s="15"/>
    </row>
    <row r="279" spans="1:9" x14ac:dyDescent="0.3">
      <c r="B279" s="8" t="s">
        <v>604</v>
      </c>
      <c r="C279" s="8" t="s">
        <v>605</v>
      </c>
      <c r="D279" s="12">
        <v>0</v>
      </c>
      <c r="E279" s="12">
        <v>4688</v>
      </c>
      <c r="F279" s="12">
        <v>0</v>
      </c>
      <c r="G279" s="12">
        <f t="shared" si="8"/>
        <v>4688</v>
      </c>
      <c r="H279" s="12">
        <f t="shared" si="9"/>
        <v>4688</v>
      </c>
      <c r="I279" s="8" t="s">
        <v>606</v>
      </c>
    </row>
    <row r="280" spans="1:9" x14ac:dyDescent="0.3">
      <c r="B280" s="15" t="s">
        <v>430</v>
      </c>
      <c r="C280" s="15" t="s">
        <v>431</v>
      </c>
      <c r="D280" s="16"/>
      <c r="E280" s="16"/>
      <c r="F280" s="16"/>
      <c r="G280" s="16"/>
      <c r="H280" s="16"/>
      <c r="I280" s="15"/>
    </row>
    <row r="281" spans="1:9" x14ac:dyDescent="0.3">
      <c r="B281" s="8" t="s">
        <v>432</v>
      </c>
      <c r="C281" s="8" t="s">
        <v>433</v>
      </c>
      <c r="D281" s="12">
        <v>4.5199999999999996</v>
      </c>
      <c r="E281" s="12">
        <v>4.04</v>
      </c>
      <c r="F281" s="12">
        <v>3.97</v>
      </c>
      <c r="G281" s="12">
        <f t="shared" si="8"/>
        <v>6.999999999999984E-2</v>
      </c>
      <c r="H281" s="12">
        <f t="shared" si="9"/>
        <v>4.59</v>
      </c>
      <c r="I281" s="8" t="s">
        <v>434</v>
      </c>
    </row>
    <row r="282" spans="1:9" x14ac:dyDescent="0.3">
      <c r="B282" s="8" t="s">
        <v>607</v>
      </c>
      <c r="C282" s="8" t="s">
        <v>608</v>
      </c>
      <c r="D282" s="12">
        <v>0</v>
      </c>
      <c r="E282" s="12">
        <v>406.69</v>
      </c>
      <c r="F282" s="12">
        <v>0</v>
      </c>
      <c r="G282" s="12">
        <f t="shared" si="8"/>
        <v>406.69</v>
      </c>
      <c r="H282" s="12">
        <f t="shared" si="9"/>
        <v>406.69</v>
      </c>
      <c r="I282" s="8" t="s">
        <v>434</v>
      </c>
    </row>
    <row r="283" spans="1:9" x14ac:dyDescent="0.3">
      <c r="B283" s="15" t="s">
        <v>435</v>
      </c>
      <c r="C283" s="15" t="s">
        <v>436</v>
      </c>
      <c r="D283" s="16"/>
      <c r="E283" s="16"/>
      <c r="F283" s="16"/>
      <c r="G283" s="16"/>
      <c r="H283" s="16"/>
      <c r="I283" s="15"/>
    </row>
    <row r="284" spans="1:9" x14ac:dyDescent="0.3">
      <c r="B284" s="8" t="s">
        <v>437</v>
      </c>
      <c r="C284" s="8" t="s">
        <v>438</v>
      </c>
      <c r="D284" s="12">
        <v>386.17</v>
      </c>
      <c r="E284" s="12">
        <v>131.13</v>
      </c>
      <c r="F284" s="12">
        <v>0</v>
      </c>
      <c r="G284" s="12">
        <f t="shared" si="8"/>
        <v>131.13</v>
      </c>
      <c r="H284" s="12">
        <f t="shared" si="9"/>
        <v>517.29999999999995</v>
      </c>
      <c r="I284" s="8" t="s">
        <v>439</v>
      </c>
    </row>
    <row r="285" spans="1:9" x14ac:dyDescent="0.3">
      <c r="B285" s="15" t="s">
        <v>440</v>
      </c>
      <c r="C285" s="15" t="s">
        <v>441</v>
      </c>
      <c r="D285" s="16">
        <f t="shared" ref="D285" si="10">SUM(D8:D284)</f>
        <v>2.305000634805765E-10</v>
      </c>
      <c r="E285" s="16">
        <f>SUM(E8:E284)</f>
        <v>16760784.149999997</v>
      </c>
      <c r="F285" s="16">
        <f t="shared" ref="F285:H285" si="11">SUM(F8:F284)</f>
        <v>16760784.15</v>
      </c>
      <c r="G285" s="16">
        <f t="shared" si="11"/>
        <v>3.2349589673685841E-10</v>
      </c>
      <c r="H285" s="16">
        <f t="shared" si="11"/>
        <v>1.2096279533579946E-9</v>
      </c>
      <c r="I285" s="15"/>
    </row>
    <row r="286" spans="1:9" x14ac:dyDescent="0.3">
      <c r="B286" s="2"/>
      <c r="C286" s="2"/>
      <c r="D286" s="10"/>
      <c r="E286" s="10"/>
      <c r="F286" s="10"/>
      <c r="G286" s="10"/>
      <c r="H286" s="10"/>
      <c r="I286" s="2"/>
    </row>
    <row r="287" spans="1:9" ht="15" thickBot="1" x14ac:dyDescent="0.35">
      <c r="A287" s="1"/>
      <c r="B287" s="4"/>
      <c r="C287" s="4"/>
      <c r="D287" s="13"/>
      <c r="E287" s="13">
        <v>16760784.130000001</v>
      </c>
      <c r="F287" s="13">
        <v>16760784.130000001</v>
      </c>
      <c r="G287" s="13"/>
      <c r="H287" s="13"/>
      <c r="I287" s="4"/>
    </row>
    <row r="288" spans="1:9" x14ac:dyDescent="0.3">
      <c r="B288" s="2"/>
      <c r="C288" s="2"/>
      <c r="D288" s="10"/>
      <c r="E288" s="10">
        <f>E285-E287</f>
        <v>1.9999995827674866E-2</v>
      </c>
      <c r="F288" s="10">
        <f>F285-F287</f>
        <v>1.9999999552965164E-2</v>
      </c>
      <c r="G288" s="10"/>
      <c r="H288" s="10"/>
      <c r="I288" s="2"/>
    </row>
  </sheetData>
  <autoFilter ref="B7:I285" xr:uid="{7038340C-1607-485A-86C9-05BCB66EF8DF}"/>
  <mergeCells count="3">
    <mergeCell ref="B1:I1"/>
    <mergeCell ref="B2:I2"/>
    <mergeCell ref="B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46C8-A8C4-4532-BF46-096B53A0A146}">
  <dimension ref="A1:J300"/>
  <sheetViews>
    <sheetView showGridLines="0" workbookViewId="0"/>
  </sheetViews>
  <sheetFormatPr defaultRowHeight="14.4" x14ac:dyDescent="0.3"/>
  <cols>
    <col min="3" max="3" width="45.44140625" customWidth="1"/>
    <col min="4" max="4" width="16.109375" style="14" bestFit="1" customWidth="1"/>
    <col min="5" max="6" width="14.109375" style="14" bestFit="1" customWidth="1"/>
    <col min="7" max="7" width="13.21875" style="14" bestFit="1" customWidth="1"/>
    <col min="8" max="8" width="15" style="14" bestFit="1" customWidth="1"/>
    <col min="9" max="9" width="32.6640625" bestFit="1" customWidth="1"/>
  </cols>
  <sheetData>
    <row r="1" spans="2:10" x14ac:dyDescent="0.3">
      <c r="B1" s="18" t="s">
        <v>0</v>
      </c>
      <c r="C1" s="19"/>
      <c r="D1" s="19"/>
      <c r="E1" s="19"/>
      <c r="F1" s="19"/>
      <c r="G1" s="19"/>
      <c r="H1" s="19"/>
      <c r="I1" s="19"/>
    </row>
    <row r="2" spans="2:10" x14ac:dyDescent="0.3">
      <c r="B2" s="18" t="s">
        <v>609</v>
      </c>
      <c r="C2" s="18"/>
      <c r="D2" s="18"/>
      <c r="E2" s="18"/>
      <c r="F2" s="18"/>
      <c r="G2" s="18"/>
      <c r="H2" s="18"/>
      <c r="I2" s="18"/>
    </row>
    <row r="3" spans="2:10" x14ac:dyDescent="0.3">
      <c r="B3" s="18"/>
      <c r="C3" s="18"/>
      <c r="D3" s="18"/>
      <c r="E3" s="18"/>
      <c r="F3" s="18"/>
      <c r="G3" s="18"/>
      <c r="H3" s="18"/>
      <c r="I3" s="18"/>
    </row>
    <row r="4" spans="2:10" x14ac:dyDescent="0.3">
      <c r="B4" s="2"/>
      <c r="C4" s="2"/>
      <c r="D4" s="10"/>
      <c r="E4" s="10"/>
      <c r="F4" s="10"/>
      <c r="G4" s="10"/>
      <c r="H4" s="10"/>
      <c r="I4" s="2"/>
    </row>
    <row r="5" spans="2:10" x14ac:dyDescent="0.3">
      <c r="B5" s="2"/>
      <c r="C5" s="2"/>
      <c r="D5" s="10"/>
      <c r="E5" s="10"/>
      <c r="F5" s="10"/>
      <c r="G5" s="10"/>
      <c r="H5" s="10"/>
      <c r="I5" s="2"/>
    </row>
    <row r="6" spans="2:10" x14ac:dyDescent="0.3">
      <c r="B6" s="6" t="s">
        <v>2</v>
      </c>
      <c r="C6" s="6" t="s">
        <v>3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  <c r="I6" s="6" t="s">
        <v>9</v>
      </c>
      <c r="J6" s="1"/>
    </row>
    <row r="7" spans="2:10" x14ac:dyDescent="0.3">
      <c r="B7" s="6"/>
      <c r="C7" s="6"/>
      <c r="D7" s="11"/>
      <c r="E7" s="11"/>
      <c r="F7" s="11"/>
      <c r="G7" s="11"/>
      <c r="H7" s="11"/>
      <c r="I7" s="6"/>
      <c r="J7" s="1"/>
    </row>
    <row r="8" spans="2:10" x14ac:dyDescent="0.3">
      <c r="B8" s="15" t="s">
        <v>10</v>
      </c>
      <c r="C8" s="15" t="s">
        <v>11</v>
      </c>
      <c r="D8" s="16"/>
      <c r="E8" s="16"/>
      <c r="F8" s="16"/>
      <c r="G8" s="16"/>
      <c r="H8" s="16"/>
      <c r="I8" s="15"/>
    </row>
    <row r="9" spans="2:10" x14ac:dyDescent="0.3">
      <c r="B9" s="8" t="s">
        <v>12</v>
      </c>
      <c r="C9" s="8" t="s">
        <v>13</v>
      </c>
      <c r="D9" s="12">
        <v>0</v>
      </c>
      <c r="E9" s="12">
        <v>0</v>
      </c>
      <c r="F9" s="12">
        <v>0</v>
      </c>
      <c r="G9" s="12">
        <f t="shared" ref="G9:G72" si="0">E9-F9</f>
        <v>0</v>
      </c>
      <c r="H9" s="12">
        <f t="shared" ref="H9:H72" si="1">D9+G9</f>
        <v>0</v>
      </c>
      <c r="I9" s="8" t="s">
        <v>14</v>
      </c>
    </row>
    <row r="10" spans="2:10" x14ac:dyDescent="0.3">
      <c r="B10" s="15" t="s">
        <v>15</v>
      </c>
      <c r="C10" s="15" t="s">
        <v>16</v>
      </c>
      <c r="D10" s="16"/>
      <c r="E10" s="16"/>
      <c r="F10" s="16"/>
      <c r="G10" s="16"/>
      <c r="H10" s="16"/>
      <c r="I10" s="15"/>
    </row>
    <row r="11" spans="2:10" x14ac:dyDescent="0.3">
      <c r="B11" s="15" t="s">
        <v>17</v>
      </c>
      <c r="C11" s="15" t="s">
        <v>18</v>
      </c>
      <c r="D11" s="16"/>
      <c r="E11" s="16"/>
      <c r="F11" s="16"/>
      <c r="G11" s="16"/>
      <c r="H11" s="16"/>
      <c r="I11" s="15"/>
    </row>
    <row r="12" spans="2:10" x14ac:dyDescent="0.3">
      <c r="B12" s="8" t="s">
        <v>19</v>
      </c>
      <c r="C12" s="8" t="s">
        <v>20</v>
      </c>
      <c r="D12" s="12">
        <v>127066.04</v>
      </c>
      <c r="E12" s="12">
        <v>215478</v>
      </c>
      <c r="F12" s="12">
        <v>331289</v>
      </c>
      <c r="G12" s="12">
        <f t="shared" si="0"/>
        <v>-115811</v>
      </c>
      <c r="H12" s="12">
        <f t="shared" si="1"/>
        <v>11255.039999999994</v>
      </c>
      <c r="I12" s="8" t="s">
        <v>21</v>
      </c>
    </row>
    <row r="13" spans="2:10" x14ac:dyDescent="0.3">
      <c r="B13" s="8" t="s">
        <v>22</v>
      </c>
      <c r="C13" s="8" t="s">
        <v>23</v>
      </c>
      <c r="D13" s="12">
        <v>0</v>
      </c>
      <c r="E13" s="12">
        <v>26103.06</v>
      </c>
      <c r="F13" s="12">
        <v>26103.06</v>
      </c>
      <c r="G13" s="12">
        <f t="shared" si="0"/>
        <v>0</v>
      </c>
      <c r="H13" s="12">
        <f t="shared" si="1"/>
        <v>0</v>
      </c>
      <c r="I13" s="8" t="s">
        <v>21</v>
      </c>
    </row>
    <row r="14" spans="2:10" x14ac:dyDescent="0.3">
      <c r="B14" s="8" t="s">
        <v>24</v>
      </c>
      <c r="C14" s="8" t="s">
        <v>25</v>
      </c>
      <c r="D14" s="12">
        <v>0</v>
      </c>
      <c r="E14" s="12">
        <v>305186</v>
      </c>
      <c r="F14" s="12">
        <v>305186</v>
      </c>
      <c r="G14" s="12">
        <f t="shared" si="0"/>
        <v>0</v>
      </c>
      <c r="H14" s="12">
        <f t="shared" si="1"/>
        <v>0</v>
      </c>
      <c r="I14" s="8" t="s">
        <v>21</v>
      </c>
    </row>
    <row r="15" spans="2:10" x14ac:dyDescent="0.3">
      <c r="B15" s="8" t="s">
        <v>26</v>
      </c>
      <c r="C15" s="8" t="s">
        <v>27</v>
      </c>
      <c r="D15" s="12">
        <v>200</v>
      </c>
      <c r="E15" s="12">
        <v>135425</v>
      </c>
      <c r="F15" s="12">
        <v>135625</v>
      </c>
      <c r="G15" s="12">
        <f t="shared" si="0"/>
        <v>-200</v>
      </c>
      <c r="H15" s="12">
        <f t="shared" si="1"/>
        <v>0</v>
      </c>
      <c r="I15" s="8" t="s">
        <v>21</v>
      </c>
    </row>
    <row r="16" spans="2:10" x14ac:dyDescent="0.3">
      <c r="B16" s="15" t="s">
        <v>28</v>
      </c>
      <c r="C16" s="15" t="s">
        <v>29</v>
      </c>
      <c r="D16" s="16"/>
      <c r="E16" s="16"/>
      <c r="F16" s="16"/>
      <c r="G16" s="16"/>
      <c r="H16" s="16"/>
      <c r="I16" s="15"/>
    </row>
    <row r="17" spans="2:9" x14ac:dyDescent="0.3">
      <c r="B17" s="8" t="s">
        <v>30</v>
      </c>
      <c r="C17" s="8" t="s">
        <v>31</v>
      </c>
      <c r="D17" s="12">
        <v>12833.12</v>
      </c>
      <c r="E17" s="12">
        <v>1803083.06</v>
      </c>
      <c r="F17" s="12">
        <v>1733237.09</v>
      </c>
      <c r="G17" s="12">
        <f t="shared" si="0"/>
        <v>69845.969999999972</v>
      </c>
      <c r="H17" s="12">
        <f t="shared" si="1"/>
        <v>82679.089999999967</v>
      </c>
      <c r="I17" s="8" t="s">
        <v>32</v>
      </c>
    </row>
    <row r="18" spans="2:9" x14ac:dyDescent="0.3">
      <c r="B18" s="8" t="s">
        <v>443</v>
      </c>
      <c r="C18" s="8" t="s">
        <v>444</v>
      </c>
      <c r="D18" s="12">
        <v>100</v>
      </c>
      <c r="E18" s="12">
        <v>0</v>
      </c>
      <c r="F18" s="12">
        <v>0</v>
      </c>
      <c r="G18" s="12">
        <f t="shared" si="0"/>
        <v>0</v>
      </c>
      <c r="H18" s="12">
        <f t="shared" si="1"/>
        <v>100</v>
      </c>
      <c r="I18" s="8" t="s">
        <v>32</v>
      </c>
    </row>
    <row r="19" spans="2:9" x14ac:dyDescent="0.3">
      <c r="B19" s="15" t="s">
        <v>33</v>
      </c>
      <c r="C19" s="15" t="s">
        <v>34</v>
      </c>
      <c r="D19" s="16"/>
      <c r="E19" s="16"/>
      <c r="F19" s="16"/>
      <c r="G19" s="16"/>
      <c r="H19" s="16"/>
      <c r="I19" s="15"/>
    </row>
    <row r="20" spans="2:9" x14ac:dyDescent="0.3">
      <c r="B20" s="8" t="s">
        <v>35</v>
      </c>
      <c r="C20" s="8" t="s">
        <v>36</v>
      </c>
      <c r="D20" s="12">
        <v>0</v>
      </c>
      <c r="E20" s="12">
        <v>316462</v>
      </c>
      <c r="F20" s="12">
        <v>316462</v>
      </c>
      <c r="G20" s="12">
        <f t="shared" si="0"/>
        <v>0</v>
      </c>
      <c r="H20" s="12">
        <f t="shared" si="1"/>
        <v>0</v>
      </c>
      <c r="I20" s="8" t="s">
        <v>37</v>
      </c>
    </row>
    <row r="21" spans="2:9" x14ac:dyDescent="0.3">
      <c r="B21" s="15" t="s">
        <v>38</v>
      </c>
      <c r="C21" s="15" t="s">
        <v>39</v>
      </c>
      <c r="D21" s="16"/>
      <c r="E21" s="16"/>
      <c r="F21" s="16"/>
      <c r="G21" s="16"/>
      <c r="H21" s="16"/>
      <c r="I21" s="15"/>
    </row>
    <row r="22" spans="2:9" x14ac:dyDescent="0.3">
      <c r="B22" s="8" t="s">
        <v>40</v>
      </c>
      <c r="C22" s="8" t="s">
        <v>41</v>
      </c>
      <c r="D22" s="12">
        <v>7656</v>
      </c>
      <c r="E22" s="12">
        <v>96374.6</v>
      </c>
      <c r="F22" s="12">
        <v>104018</v>
      </c>
      <c r="G22" s="12">
        <f t="shared" si="0"/>
        <v>-7643.3999999999942</v>
      </c>
      <c r="H22" s="12">
        <f t="shared" si="1"/>
        <v>12.600000000005821</v>
      </c>
      <c r="I22" s="8" t="s">
        <v>42</v>
      </c>
    </row>
    <row r="23" spans="2:9" x14ac:dyDescent="0.3">
      <c r="B23" s="8" t="s">
        <v>43</v>
      </c>
      <c r="C23" s="8" t="s">
        <v>44</v>
      </c>
      <c r="D23" s="12">
        <v>0</v>
      </c>
      <c r="E23" s="12">
        <v>10764</v>
      </c>
      <c r="F23" s="12">
        <v>10764</v>
      </c>
      <c r="G23" s="12">
        <f t="shared" si="0"/>
        <v>0</v>
      </c>
      <c r="H23" s="12">
        <f t="shared" si="1"/>
        <v>0</v>
      </c>
      <c r="I23" s="8" t="s">
        <v>42</v>
      </c>
    </row>
    <row r="24" spans="2:9" x14ac:dyDescent="0.3">
      <c r="B24" s="8" t="s">
        <v>45</v>
      </c>
      <c r="C24" s="8" t="s">
        <v>46</v>
      </c>
      <c r="D24" s="12">
        <v>-0.34</v>
      </c>
      <c r="E24" s="12">
        <v>3090.57</v>
      </c>
      <c r="F24" s="12">
        <v>3090.85</v>
      </c>
      <c r="G24" s="12">
        <f t="shared" si="0"/>
        <v>-0.27999999999974534</v>
      </c>
      <c r="H24" s="12">
        <f t="shared" si="1"/>
        <v>-0.61999999999974542</v>
      </c>
      <c r="I24" s="8" t="s">
        <v>42</v>
      </c>
    </row>
    <row r="25" spans="2:9" x14ac:dyDescent="0.3">
      <c r="B25" s="8" t="s">
        <v>47</v>
      </c>
      <c r="C25" s="8" t="s">
        <v>48</v>
      </c>
      <c r="D25" s="12">
        <v>3496</v>
      </c>
      <c r="E25" s="12">
        <v>47122.8</v>
      </c>
      <c r="F25" s="12">
        <v>18212.75</v>
      </c>
      <c r="G25" s="12">
        <f t="shared" si="0"/>
        <v>28910.050000000003</v>
      </c>
      <c r="H25" s="12">
        <f t="shared" si="1"/>
        <v>32406.050000000003</v>
      </c>
      <c r="I25" s="8" t="s">
        <v>42</v>
      </c>
    </row>
    <row r="26" spans="2:9" x14ac:dyDescent="0.3">
      <c r="B26" s="8" t="s">
        <v>445</v>
      </c>
      <c r="C26" s="8" t="s">
        <v>446</v>
      </c>
      <c r="D26" s="12">
        <v>1998.98</v>
      </c>
      <c r="E26" s="12">
        <v>4275.17</v>
      </c>
      <c r="F26" s="12">
        <v>4275.17</v>
      </c>
      <c r="G26" s="12">
        <f t="shared" si="0"/>
        <v>0</v>
      </c>
      <c r="H26" s="12">
        <f t="shared" si="1"/>
        <v>1998.98</v>
      </c>
      <c r="I26" s="8" t="s">
        <v>42</v>
      </c>
    </row>
    <row r="27" spans="2:9" x14ac:dyDescent="0.3">
      <c r="B27" s="8" t="s">
        <v>49</v>
      </c>
      <c r="C27" s="8" t="s">
        <v>50</v>
      </c>
      <c r="D27" s="12">
        <v>5207.1000000000004</v>
      </c>
      <c r="E27" s="12">
        <v>9761.2000000000007</v>
      </c>
      <c r="F27" s="12">
        <v>7748.7</v>
      </c>
      <c r="G27" s="12">
        <f t="shared" si="0"/>
        <v>2012.5000000000009</v>
      </c>
      <c r="H27" s="12">
        <f t="shared" si="1"/>
        <v>7219.6000000000013</v>
      </c>
      <c r="I27" s="8" t="s">
        <v>42</v>
      </c>
    </row>
    <row r="28" spans="2:9" x14ac:dyDescent="0.3">
      <c r="B28" s="8" t="s">
        <v>51</v>
      </c>
      <c r="C28" s="8" t="s">
        <v>52</v>
      </c>
      <c r="D28" s="12">
        <v>5179.95</v>
      </c>
      <c r="E28" s="12">
        <v>29451.5</v>
      </c>
      <c r="F28" s="12">
        <v>28000</v>
      </c>
      <c r="G28" s="12">
        <f t="shared" si="0"/>
        <v>1451.5</v>
      </c>
      <c r="H28" s="12">
        <f t="shared" si="1"/>
        <v>6631.45</v>
      </c>
      <c r="I28" s="8" t="s">
        <v>42</v>
      </c>
    </row>
    <row r="29" spans="2:9" x14ac:dyDescent="0.3">
      <c r="B29" s="8" t="s">
        <v>53</v>
      </c>
      <c r="C29" s="8" t="s">
        <v>54</v>
      </c>
      <c r="D29" s="12">
        <v>11690.2</v>
      </c>
      <c r="E29" s="12">
        <v>12267.05</v>
      </c>
      <c r="F29" s="12">
        <v>14646.8</v>
      </c>
      <c r="G29" s="12">
        <f t="shared" si="0"/>
        <v>-2379.75</v>
      </c>
      <c r="H29" s="12">
        <f t="shared" si="1"/>
        <v>9310.4500000000007</v>
      </c>
      <c r="I29" s="8" t="s">
        <v>42</v>
      </c>
    </row>
    <row r="30" spans="2:9" x14ac:dyDescent="0.3">
      <c r="B30" s="8" t="s">
        <v>55</v>
      </c>
      <c r="C30" s="8" t="s">
        <v>56</v>
      </c>
      <c r="D30" s="12">
        <v>76674.3</v>
      </c>
      <c r="E30" s="12">
        <v>20912.75</v>
      </c>
      <c r="F30" s="12">
        <v>50000</v>
      </c>
      <c r="G30" s="12">
        <f t="shared" si="0"/>
        <v>-29087.25</v>
      </c>
      <c r="H30" s="12">
        <f t="shared" si="1"/>
        <v>47587.05</v>
      </c>
      <c r="I30" s="8" t="s">
        <v>42</v>
      </c>
    </row>
    <row r="31" spans="2:9" x14ac:dyDescent="0.3">
      <c r="B31" s="8" t="s">
        <v>447</v>
      </c>
      <c r="C31" s="8" t="s">
        <v>448</v>
      </c>
      <c r="D31" s="12">
        <v>13086.31</v>
      </c>
      <c r="E31" s="12">
        <v>792.4</v>
      </c>
      <c r="F31" s="12">
        <v>13085.93</v>
      </c>
      <c r="G31" s="12">
        <f t="shared" si="0"/>
        <v>-12293.53</v>
      </c>
      <c r="H31" s="12">
        <f t="shared" si="1"/>
        <v>792.77999999999884</v>
      </c>
      <c r="I31" s="8" t="s">
        <v>42</v>
      </c>
    </row>
    <row r="32" spans="2:9" x14ac:dyDescent="0.3">
      <c r="B32" s="8" t="s">
        <v>57</v>
      </c>
      <c r="C32" s="8" t="s">
        <v>58</v>
      </c>
      <c r="D32" s="12">
        <v>-6880</v>
      </c>
      <c r="E32" s="12">
        <v>0</v>
      </c>
      <c r="F32" s="12">
        <v>0</v>
      </c>
      <c r="G32" s="12">
        <f t="shared" si="0"/>
        <v>0</v>
      </c>
      <c r="H32" s="12">
        <f t="shared" si="1"/>
        <v>-6880</v>
      </c>
      <c r="I32" s="8" t="s">
        <v>42</v>
      </c>
    </row>
    <row r="33" spans="2:9" x14ac:dyDescent="0.3">
      <c r="B33" s="8" t="s">
        <v>59</v>
      </c>
      <c r="C33" s="8" t="s">
        <v>60</v>
      </c>
      <c r="D33" s="12">
        <v>0</v>
      </c>
      <c r="E33" s="12">
        <v>13800</v>
      </c>
      <c r="F33" s="12">
        <v>13800</v>
      </c>
      <c r="G33" s="12">
        <f t="shared" si="0"/>
        <v>0</v>
      </c>
      <c r="H33" s="12">
        <f t="shared" si="1"/>
        <v>0</v>
      </c>
      <c r="I33" s="8" t="s">
        <v>42</v>
      </c>
    </row>
    <row r="34" spans="2:9" x14ac:dyDescent="0.3">
      <c r="B34" s="8" t="s">
        <v>449</v>
      </c>
      <c r="C34" s="8" t="s">
        <v>450</v>
      </c>
      <c r="D34" s="12">
        <v>634.95000000000005</v>
      </c>
      <c r="E34" s="12">
        <v>2760</v>
      </c>
      <c r="F34" s="12">
        <v>3395</v>
      </c>
      <c r="G34" s="12">
        <f t="shared" si="0"/>
        <v>-635</v>
      </c>
      <c r="H34" s="12">
        <f t="shared" si="1"/>
        <v>-4.9999999999954525E-2</v>
      </c>
      <c r="I34" s="8" t="s">
        <v>42</v>
      </c>
    </row>
    <row r="35" spans="2:9" x14ac:dyDescent="0.3">
      <c r="B35" s="8" t="s">
        <v>61</v>
      </c>
      <c r="C35" s="8" t="s">
        <v>62</v>
      </c>
      <c r="D35" s="12">
        <v>16.87</v>
      </c>
      <c r="E35" s="12">
        <v>57500</v>
      </c>
      <c r="F35" s="12">
        <v>57500</v>
      </c>
      <c r="G35" s="12">
        <f t="shared" si="0"/>
        <v>0</v>
      </c>
      <c r="H35" s="12">
        <f t="shared" si="1"/>
        <v>16.87</v>
      </c>
      <c r="I35" s="8" t="s">
        <v>42</v>
      </c>
    </row>
    <row r="36" spans="2:9" x14ac:dyDescent="0.3">
      <c r="B36" s="8" t="s">
        <v>451</v>
      </c>
      <c r="C36" s="8" t="s">
        <v>452</v>
      </c>
      <c r="D36" s="12">
        <v>5890.58</v>
      </c>
      <c r="E36" s="12">
        <v>0</v>
      </c>
      <c r="F36" s="12">
        <v>0</v>
      </c>
      <c r="G36" s="12">
        <f t="shared" si="0"/>
        <v>0</v>
      </c>
      <c r="H36" s="12">
        <f t="shared" si="1"/>
        <v>5890.58</v>
      </c>
      <c r="I36" s="8" t="s">
        <v>42</v>
      </c>
    </row>
    <row r="37" spans="2:9" x14ac:dyDescent="0.3">
      <c r="B37" s="8" t="s">
        <v>453</v>
      </c>
      <c r="C37" s="8" t="s">
        <v>454</v>
      </c>
      <c r="D37" s="12">
        <v>251780.95</v>
      </c>
      <c r="E37" s="12">
        <v>0</v>
      </c>
      <c r="F37" s="12">
        <v>0</v>
      </c>
      <c r="G37" s="12">
        <f t="shared" si="0"/>
        <v>0</v>
      </c>
      <c r="H37" s="12">
        <f t="shared" si="1"/>
        <v>251780.95</v>
      </c>
      <c r="I37" s="8" t="s">
        <v>42</v>
      </c>
    </row>
    <row r="38" spans="2:9" x14ac:dyDescent="0.3">
      <c r="B38" s="8" t="s">
        <v>455</v>
      </c>
      <c r="C38" s="8" t="s">
        <v>456</v>
      </c>
      <c r="D38" s="12">
        <v>655.5</v>
      </c>
      <c r="E38" s="12">
        <v>0</v>
      </c>
      <c r="F38" s="12">
        <v>0</v>
      </c>
      <c r="G38" s="12">
        <f t="shared" si="0"/>
        <v>0</v>
      </c>
      <c r="H38" s="12">
        <f t="shared" si="1"/>
        <v>655.5</v>
      </c>
      <c r="I38" s="8" t="s">
        <v>42</v>
      </c>
    </row>
    <row r="39" spans="2:9" x14ac:dyDescent="0.3">
      <c r="B39" s="8" t="s">
        <v>63</v>
      </c>
      <c r="C39" s="8" t="s">
        <v>64</v>
      </c>
      <c r="D39" s="12">
        <v>26263.119999999999</v>
      </c>
      <c r="E39" s="12">
        <v>48734.35</v>
      </c>
      <c r="F39" s="12">
        <v>67804.100000000006</v>
      </c>
      <c r="G39" s="12">
        <f t="shared" si="0"/>
        <v>-19069.750000000007</v>
      </c>
      <c r="H39" s="12">
        <f t="shared" si="1"/>
        <v>7193.3699999999917</v>
      </c>
      <c r="I39" s="8" t="s">
        <v>42</v>
      </c>
    </row>
    <row r="40" spans="2:9" x14ac:dyDescent="0.3">
      <c r="B40" s="8" t="s">
        <v>65</v>
      </c>
      <c r="C40" s="8" t="s">
        <v>66</v>
      </c>
      <c r="D40" s="12">
        <v>29979.5</v>
      </c>
      <c r="E40" s="12">
        <v>58999.6</v>
      </c>
      <c r="F40" s="12">
        <v>54979</v>
      </c>
      <c r="G40" s="12">
        <f t="shared" si="0"/>
        <v>4020.5999999999985</v>
      </c>
      <c r="H40" s="12">
        <f t="shared" si="1"/>
        <v>34000.1</v>
      </c>
      <c r="I40" s="8" t="s">
        <v>42</v>
      </c>
    </row>
    <row r="41" spans="2:9" x14ac:dyDescent="0.3">
      <c r="B41" s="8" t="s">
        <v>457</v>
      </c>
      <c r="C41" s="8" t="s">
        <v>458</v>
      </c>
      <c r="D41" s="12">
        <v>481.75</v>
      </c>
      <c r="E41" s="12">
        <v>0</v>
      </c>
      <c r="F41" s="12">
        <v>481</v>
      </c>
      <c r="G41" s="12">
        <f t="shared" si="0"/>
        <v>-481</v>
      </c>
      <c r="H41" s="12">
        <f t="shared" si="1"/>
        <v>0.75</v>
      </c>
      <c r="I41" s="8" t="s">
        <v>42</v>
      </c>
    </row>
    <row r="42" spans="2:9" x14ac:dyDescent="0.3">
      <c r="B42" s="8" t="s">
        <v>67</v>
      </c>
      <c r="C42" s="8" t="s">
        <v>68</v>
      </c>
      <c r="D42" s="12">
        <v>338574.94</v>
      </c>
      <c r="E42" s="12">
        <v>7000</v>
      </c>
      <c r="F42" s="12">
        <v>34000</v>
      </c>
      <c r="G42" s="12">
        <f t="shared" si="0"/>
        <v>-27000</v>
      </c>
      <c r="H42" s="12">
        <f t="shared" si="1"/>
        <v>311574.94</v>
      </c>
      <c r="I42" s="8" t="s">
        <v>42</v>
      </c>
    </row>
    <row r="43" spans="2:9" x14ac:dyDescent="0.3">
      <c r="B43" s="8" t="s">
        <v>69</v>
      </c>
      <c r="C43" s="8" t="s">
        <v>70</v>
      </c>
      <c r="D43" s="12">
        <v>1.8</v>
      </c>
      <c r="E43" s="12">
        <v>49121.1</v>
      </c>
      <c r="F43" s="12">
        <v>49120</v>
      </c>
      <c r="G43" s="12">
        <f t="shared" si="0"/>
        <v>1.0999999999985448</v>
      </c>
      <c r="H43" s="12">
        <f t="shared" si="1"/>
        <v>2.8999999999985446</v>
      </c>
      <c r="I43" s="8" t="s">
        <v>42</v>
      </c>
    </row>
    <row r="44" spans="2:9" x14ac:dyDescent="0.3">
      <c r="B44" s="8" t="s">
        <v>71</v>
      </c>
      <c r="C44" s="8" t="s">
        <v>72</v>
      </c>
      <c r="D44" s="12">
        <v>-0.35</v>
      </c>
      <c r="E44" s="12">
        <v>6276.13</v>
      </c>
      <c r="F44" s="12">
        <v>6276</v>
      </c>
      <c r="G44" s="12">
        <f t="shared" si="0"/>
        <v>0.13000000000010914</v>
      </c>
      <c r="H44" s="12">
        <f t="shared" si="1"/>
        <v>-0.21999999999989084</v>
      </c>
      <c r="I44" s="8" t="s">
        <v>42</v>
      </c>
    </row>
    <row r="45" spans="2:9" x14ac:dyDescent="0.3">
      <c r="B45" s="8" t="s">
        <v>73</v>
      </c>
      <c r="C45" s="8" t="s">
        <v>74</v>
      </c>
      <c r="D45" s="12">
        <v>0.75</v>
      </c>
      <c r="E45" s="12">
        <v>105023.75</v>
      </c>
      <c r="F45" s="12">
        <v>72566.25</v>
      </c>
      <c r="G45" s="12">
        <f t="shared" si="0"/>
        <v>32457.5</v>
      </c>
      <c r="H45" s="12">
        <f t="shared" si="1"/>
        <v>32458.25</v>
      </c>
      <c r="I45" s="8" t="s">
        <v>42</v>
      </c>
    </row>
    <row r="46" spans="2:9" x14ac:dyDescent="0.3">
      <c r="B46" s="8" t="s">
        <v>75</v>
      </c>
      <c r="C46" s="8" t="s">
        <v>76</v>
      </c>
      <c r="D46" s="12">
        <v>17014.16</v>
      </c>
      <c r="E46" s="12">
        <v>4368.8500000000004</v>
      </c>
      <c r="F46" s="12">
        <v>4368</v>
      </c>
      <c r="G46" s="12">
        <f t="shared" si="0"/>
        <v>0.8500000000003638</v>
      </c>
      <c r="H46" s="12">
        <f t="shared" si="1"/>
        <v>17015.010000000002</v>
      </c>
      <c r="I46" s="8" t="s">
        <v>42</v>
      </c>
    </row>
    <row r="47" spans="2:9" x14ac:dyDescent="0.3">
      <c r="B47" s="8" t="s">
        <v>77</v>
      </c>
      <c r="C47" s="8" t="s">
        <v>78</v>
      </c>
      <c r="D47" s="12">
        <v>0</v>
      </c>
      <c r="E47" s="12">
        <v>13800</v>
      </c>
      <c r="F47" s="12">
        <v>13800</v>
      </c>
      <c r="G47" s="12">
        <f t="shared" si="0"/>
        <v>0</v>
      </c>
      <c r="H47" s="12">
        <f t="shared" si="1"/>
        <v>0</v>
      </c>
      <c r="I47" s="8" t="s">
        <v>42</v>
      </c>
    </row>
    <row r="48" spans="2:9" x14ac:dyDescent="0.3">
      <c r="B48" s="8" t="s">
        <v>79</v>
      </c>
      <c r="C48" s="8" t="s">
        <v>80</v>
      </c>
      <c r="D48" s="12">
        <v>7289.4</v>
      </c>
      <c r="E48" s="12">
        <v>9936</v>
      </c>
      <c r="F48" s="12">
        <v>17290</v>
      </c>
      <c r="G48" s="12">
        <f t="shared" si="0"/>
        <v>-7354</v>
      </c>
      <c r="H48" s="12">
        <f t="shared" si="1"/>
        <v>-64.600000000000364</v>
      </c>
      <c r="I48" s="8" t="s">
        <v>42</v>
      </c>
    </row>
    <row r="49" spans="2:9" x14ac:dyDescent="0.3">
      <c r="B49" s="8" t="s">
        <v>81</v>
      </c>
      <c r="C49" s="8" t="s">
        <v>82</v>
      </c>
      <c r="D49" s="12">
        <v>4473.8500000000004</v>
      </c>
      <c r="E49" s="12">
        <v>4243.5</v>
      </c>
      <c r="F49" s="12">
        <v>4473.8500000000004</v>
      </c>
      <c r="G49" s="12">
        <f t="shared" si="0"/>
        <v>-230.35000000000036</v>
      </c>
      <c r="H49" s="12">
        <f t="shared" si="1"/>
        <v>4243.5</v>
      </c>
      <c r="I49" s="8" t="s">
        <v>42</v>
      </c>
    </row>
    <row r="50" spans="2:9" x14ac:dyDescent="0.3">
      <c r="B50" s="8" t="s">
        <v>83</v>
      </c>
      <c r="C50" s="8" t="s">
        <v>84</v>
      </c>
      <c r="D50" s="12">
        <v>105822.41</v>
      </c>
      <c r="E50" s="12">
        <v>8251.25</v>
      </c>
      <c r="F50" s="12">
        <v>20145.93</v>
      </c>
      <c r="G50" s="12">
        <f t="shared" si="0"/>
        <v>-11894.68</v>
      </c>
      <c r="H50" s="12">
        <f t="shared" si="1"/>
        <v>93927.73000000001</v>
      </c>
      <c r="I50" s="8" t="s">
        <v>42</v>
      </c>
    </row>
    <row r="51" spans="2:9" x14ac:dyDescent="0.3">
      <c r="B51" s="8" t="s">
        <v>85</v>
      </c>
      <c r="C51" s="8" t="s">
        <v>86</v>
      </c>
      <c r="D51" s="12">
        <v>68601.02</v>
      </c>
      <c r="E51" s="12">
        <v>191507.65</v>
      </c>
      <c r="F51" s="12">
        <v>192115.78</v>
      </c>
      <c r="G51" s="12">
        <f t="shared" si="0"/>
        <v>-608.13000000000466</v>
      </c>
      <c r="H51" s="12">
        <f t="shared" si="1"/>
        <v>67992.89</v>
      </c>
      <c r="I51" s="8" t="s">
        <v>42</v>
      </c>
    </row>
    <row r="52" spans="2:9" x14ac:dyDescent="0.3">
      <c r="B52" s="8" t="s">
        <v>87</v>
      </c>
      <c r="C52" s="8" t="s">
        <v>88</v>
      </c>
      <c r="D52" s="12">
        <v>0.68</v>
      </c>
      <c r="E52" s="12">
        <v>0</v>
      </c>
      <c r="F52" s="12">
        <v>0</v>
      </c>
      <c r="G52" s="12">
        <f t="shared" si="0"/>
        <v>0</v>
      </c>
      <c r="H52" s="12">
        <f t="shared" si="1"/>
        <v>0.68</v>
      </c>
      <c r="I52" s="8" t="s">
        <v>42</v>
      </c>
    </row>
    <row r="53" spans="2:9" x14ac:dyDescent="0.3">
      <c r="B53" s="8" t="s">
        <v>610</v>
      </c>
      <c r="C53" s="8" t="s">
        <v>611</v>
      </c>
      <c r="D53" s="12">
        <v>0</v>
      </c>
      <c r="E53" s="12">
        <v>2398.9</v>
      </c>
      <c r="F53" s="12">
        <v>0</v>
      </c>
      <c r="G53" s="12">
        <f t="shared" si="0"/>
        <v>2398.9</v>
      </c>
      <c r="H53" s="12">
        <f t="shared" si="1"/>
        <v>2398.9</v>
      </c>
      <c r="I53" s="8" t="s">
        <v>42</v>
      </c>
    </row>
    <row r="54" spans="2:9" x14ac:dyDescent="0.3">
      <c r="B54" s="8" t="s">
        <v>89</v>
      </c>
      <c r="C54" s="8" t="s">
        <v>90</v>
      </c>
      <c r="D54" s="12">
        <v>116004.7</v>
      </c>
      <c r="E54" s="12">
        <v>186929.05</v>
      </c>
      <c r="F54" s="12">
        <v>254978.15</v>
      </c>
      <c r="G54" s="12">
        <f t="shared" si="0"/>
        <v>-68049.100000000006</v>
      </c>
      <c r="H54" s="12">
        <f t="shared" si="1"/>
        <v>47955.599999999991</v>
      </c>
      <c r="I54" s="8" t="s">
        <v>42</v>
      </c>
    </row>
    <row r="55" spans="2:9" x14ac:dyDescent="0.3">
      <c r="B55" s="8" t="s">
        <v>91</v>
      </c>
      <c r="C55" s="8" t="s">
        <v>92</v>
      </c>
      <c r="D55" s="12">
        <v>23240.2</v>
      </c>
      <c r="E55" s="12">
        <v>15759.6</v>
      </c>
      <c r="F55" s="12">
        <v>29947</v>
      </c>
      <c r="G55" s="12">
        <f t="shared" si="0"/>
        <v>-14187.4</v>
      </c>
      <c r="H55" s="12">
        <f t="shared" si="1"/>
        <v>9052.8000000000011</v>
      </c>
      <c r="I55" s="8" t="s">
        <v>42</v>
      </c>
    </row>
    <row r="56" spans="2:9" x14ac:dyDescent="0.3">
      <c r="B56" s="8" t="s">
        <v>93</v>
      </c>
      <c r="C56" s="8" t="s">
        <v>94</v>
      </c>
      <c r="D56" s="12">
        <v>19140.23</v>
      </c>
      <c r="E56" s="12">
        <v>0</v>
      </c>
      <c r="F56" s="12">
        <v>10000</v>
      </c>
      <c r="G56" s="12">
        <f t="shared" si="0"/>
        <v>-10000</v>
      </c>
      <c r="H56" s="12">
        <f t="shared" si="1"/>
        <v>9140.23</v>
      </c>
      <c r="I56" s="8" t="s">
        <v>42</v>
      </c>
    </row>
    <row r="57" spans="2:9" x14ac:dyDescent="0.3">
      <c r="B57" s="8" t="s">
        <v>97</v>
      </c>
      <c r="C57" s="8" t="s">
        <v>98</v>
      </c>
      <c r="D57" s="12">
        <v>90884.87</v>
      </c>
      <c r="E57" s="12">
        <v>45871.199999999997</v>
      </c>
      <c r="F57" s="12">
        <v>80000</v>
      </c>
      <c r="G57" s="12">
        <f t="shared" si="0"/>
        <v>-34128.800000000003</v>
      </c>
      <c r="H57" s="12">
        <f t="shared" si="1"/>
        <v>56756.069999999992</v>
      </c>
      <c r="I57" s="8" t="s">
        <v>42</v>
      </c>
    </row>
    <row r="58" spans="2:9" x14ac:dyDescent="0.3">
      <c r="B58" s="8" t="s">
        <v>459</v>
      </c>
      <c r="C58" s="8" t="s">
        <v>460</v>
      </c>
      <c r="D58" s="12">
        <v>7232.93</v>
      </c>
      <c r="E58" s="12">
        <v>0</v>
      </c>
      <c r="F58" s="12">
        <v>0</v>
      </c>
      <c r="G58" s="12">
        <f t="shared" si="0"/>
        <v>0</v>
      </c>
      <c r="H58" s="12">
        <f t="shared" si="1"/>
        <v>7232.93</v>
      </c>
      <c r="I58" s="8" t="s">
        <v>42</v>
      </c>
    </row>
    <row r="59" spans="2:9" x14ac:dyDescent="0.3">
      <c r="B59" s="8" t="s">
        <v>99</v>
      </c>
      <c r="C59" s="8" t="s">
        <v>100</v>
      </c>
      <c r="D59" s="12">
        <v>45641.08</v>
      </c>
      <c r="E59" s="12">
        <v>203100.35</v>
      </c>
      <c r="F59" s="12">
        <v>206475</v>
      </c>
      <c r="G59" s="12">
        <f t="shared" si="0"/>
        <v>-3374.6499999999942</v>
      </c>
      <c r="H59" s="12">
        <f t="shared" si="1"/>
        <v>42266.430000000008</v>
      </c>
      <c r="I59" s="8" t="s">
        <v>42</v>
      </c>
    </row>
    <row r="60" spans="2:9" x14ac:dyDescent="0.3">
      <c r="B60" s="8" t="s">
        <v>461</v>
      </c>
      <c r="C60" s="8" t="s">
        <v>462</v>
      </c>
      <c r="D60" s="12">
        <v>5774.65</v>
      </c>
      <c r="E60" s="12">
        <v>2815.2</v>
      </c>
      <c r="F60" s="12">
        <v>0</v>
      </c>
      <c r="G60" s="12">
        <f t="shared" si="0"/>
        <v>2815.2</v>
      </c>
      <c r="H60" s="12">
        <f t="shared" si="1"/>
        <v>8589.8499999999985</v>
      </c>
      <c r="I60" s="8" t="s">
        <v>42</v>
      </c>
    </row>
    <row r="61" spans="2:9" x14ac:dyDescent="0.3">
      <c r="B61" s="8" t="s">
        <v>103</v>
      </c>
      <c r="C61" s="8" t="s">
        <v>104</v>
      </c>
      <c r="D61" s="12">
        <v>14572.07</v>
      </c>
      <c r="E61" s="12">
        <v>20488.39</v>
      </c>
      <c r="F61" s="12">
        <v>4870.25</v>
      </c>
      <c r="G61" s="12">
        <f t="shared" si="0"/>
        <v>15618.14</v>
      </c>
      <c r="H61" s="12">
        <f t="shared" si="1"/>
        <v>30190.21</v>
      </c>
      <c r="I61" s="8" t="s">
        <v>42</v>
      </c>
    </row>
    <row r="62" spans="2:9" x14ac:dyDescent="0.3">
      <c r="B62" s="8" t="s">
        <v>105</v>
      </c>
      <c r="C62" s="8" t="s">
        <v>106</v>
      </c>
      <c r="D62" s="12">
        <v>0.1</v>
      </c>
      <c r="E62" s="12">
        <v>0</v>
      </c>
      <c r="F62" s="12">
        <v>0</v>
      </c>
      <c r="G62" s="12">
        <f t="shared" si="0"/>
        <v>0</v>
      </c>
      <c r="H62" s="12">
        <f t="shared" si="1"/>
        <v>0.1</v>
      </c>
      <c r="I62" s="8" t="s">
        <v>42</v>
      </c>
    </row>
    <row r="63" spans="2:9" x14ac:dyDescent="0.3">
      <c r="B63" s="8" t="s">
        <v>612</v>
      </c>
      <c r="C63" s="8" t="s">
        <v>613</v>
      </c>
      <c r="D63" s="12">
        <v>0</v>
      </c>
      <c r="E63" s="12">
        <v>865.38</v>
      </c>
      <c r="F63" s="12">
        <v>0</v>
      </c>
      <c r="G63" s="12">
        <f t="shared" si="0"/>
        <v>865.38</v>
      </c>
      <c r="H63" s="12">
        <f t="shared" si="1"/>
        <v>865.38</v>
      </c>
      <c r="I63" s="8" t="s">
        <v>42</v>
      </c>
    </row>
    <row r="64" spans="2:9" x14ac:dyDescent="0.3">
      <c r="B64" s="8" t="s">
        <v>107</v>
      </c>
      <c r="C64" s="8" t="s">
        <v>108</v>
      </c>
      <c r="D64" s="12">
        <v>0.5</v>
      </c>
      <c r="E64" s="12">
        <v>21360.1</v>
      </c>
      <c r="F64" s="12">
        <v>21360</v>
      </c>
      <c r="G64" s="12">
        <f t="shared" si="0"/>
        <v>9.9999999998544808E-2</v>
      </c>
      <c r="H64" s="12">
        <f t="shared" si="1"/>
        <v>0.59999999999854481</v>
      </c>
      <c r="I64" s="8" t="s">
        <v>42</v>
      </c>
    </row>
    <row r="65" spans="2:9" x14ac:dyDescent="0.3">
      <c r="B65" s="8" t="s">
        <v>109</v>
      </c>
      <c r="C65" s="8" t="s">
        <v>110</v>
      </c>
      <c r="D65" s="12">
        <v>1028.0999999999999</v>
      </c>
      <c r="E65" s="12">
        <v>0</v>
      </c>
      <c r="F65" s="12">
        <v>0</v>
      </c>
      <c r="G65" s="12">
        <f t="shared" si="0"/>
        <v>0</v>
      </c>
      <c r="H65" s="12">
        <f t="shared" si="1"/>
        <v>1028.0999999999999</v>
      </c>
      <c r="I65" s="8" t="s">
        <v>42</v>
      </c>
    </row>
    <row r="66" spans="2:9" x14ac:dyDescent="0.3">
      <c r="B66" s="8" t="s">
        <v>111</v>
      </c>
      <c r="C66" s="8" t="s">
        <v>112</v>
      </c>
      <c r="D66" s="12">
        <v>-7057.99</v>
      </c>
      <c r="E66" s="12">
        <v>18220</v>
      </c>
      <c r="F66" s="12">
        <v>612234.69999999995</v>
      </c>
      <c r="G66" s="12">
        <f t="shared" si="0"/>
        <v>-594014.69999999995</v>
      </c>
      <c r="H66" s="12">
        <f t="shared" si="1"/>
        <v>-601072.68999999994</v>
      </c>
      <c r="I66" s="8" t="s">
        <v>42</v>
      </c>
    </row>
    <row r="67" spans="2:9" x14ac:dyDescent="0.3">
      <c r="B67" s="8" t="s">
        <v>113</v>
      </c>
      <c r="C67" s="8" t="s">
        <v>114</v>
      </c>
      <c r="D67" s="12">
        <v>7375.5</v>
      </c>
      <c r="E67" s="12">
        <v>25415</v>
      </c>
      <c r="F67" s="12">
        <v>16576</v>
      </c>
      <c r="G67" s="12">
        <f t="shared" si="0"/>
        <v>8839</v>
      </c>
      <c r="H67" s="12">
        <f t="shared" si="1"/>
        <v>16214.5</v>
      </c>
      <c r="I67" s="8" t="s">
        <v>42</v>
      </c>
    </row>
    <row r="68" spans="2:9" x14ac:dyDescent="0.3">
      <c r="B68" s="8" t="s">
        <v>614</v>
      </c>
      <c r="C68" s="8" t="s">
        <v>615</v>
      </c>
      <c r="D68" s="12">
        <v>0</v>
      </c>
      <c r="E68" s="12">
        <v>4326.3</v>
      </c>
      <c r="F68" s="12">
        <v>0</v>
      </c>
      <c r="G68" s="12">
        <f t="shared" si="0"/>
        <v>4326.3</v>
      </c>
      <c r="H68" s="12">
        <f t="shared" si="1"/>
        <v>4326.3</v>
      </c>
      <c r="I68" s="8" t="s">
        <v>42</v>
      </c>
    </row>
    <row r="69" spans="2:9" x14ac:dyDescent="0.3">
      <c r="B69" s="8" t="s">
        <v>616</v>
      </c>
      <c r="C69" s="8" t="s">
        <v>617</v>
      </c>
      <c r="D69" s="12">
        <v>0</v>
      </c>
      <c r="E69" s="12">
        <v>187158.24</v>
      </c>
      <c r="F69" s="12">
        <v>0</v>
      </c>
      <c r="G69" s="12">
        <f t="shared" si="0"/>
        <v>187158.24</v>
      </c>
      <c r="H69" s="12">
        <f t="shared" si="1"/>
        <v>187158.24</v>
      </c>
      <c r="I69" s="8" t="s">
        <v>42</v>
      </c>
    </row>
    <row r="70" spans="2:9" x14ac:dyDescent="0.3">
      <c r="B70" s="8" t="s">
        <v>465</v>
      </c>
      <c r="C70" s="8" t="s">
        <v>466</v>
      </c>
      <c r="D70" s="12">
        <v>9257.5</v>
      </c>
      <c r="E70" s="12">
        <v>36742.5</v>
      </c>
      <c r="F70" s="12">
        <v>42257.5</v>
      </c>
      <c r="G70" s="12">
        <f t="shared" si="0"/>
        <v>-5515</v>
      </c>
      <c r="H70" s="12">
        <f t="shared" si="1"/>
        <v>3742.5</v>
      </c>
      <c r="I70" s="8" t="s">
        <v>42</v>
      </c>
    </row>
    <row r="71" spans="2:9" x14ac:dyDescent="0.3">
      <c r="B71" s="15" t="s">
        <v>115</v>
      </c>
      <c r="C71" s="15" t="s">
        <v>116</v>
      </c>
      <c r="D71" s="16"/>
      <c r="E71" s="16"/>
      <c r="F71" s="16"/>
      <c r="G71" s="16"/>
      <c r="H71" s="16"/>
      <c r="I71" s="15"/>
    </row>
    <row r="72" spans="2:9" x14ac:dyDescent="0.3">
      <c r="B72" s="8" t="s">
        <v>117</v>
      </c>
      <c r="C72" s="8" t="s">
        <v>118</v>
      </c>
      <c r="D72" s="12">
        <v>0</v>
      </c>
      <c r="E72" s="12">
        <v>196935.38</v>
      </c>
      <c r="F72" s="12">
        <v>196935.38</v>
      </c>
      <c r="G72" s="12">
        <f t="shared" si="0"/>
        <v>0</v>
      </c>
      <c r="H72" s="12">
        <f t="shared" si="1"/>
        <v>0</v>
      </c>
      <c r="I72" s="8" t="s">
        <v>119</v>
      </c>
    </row>
    <row r="73" spans="2:9" x14ac:dyDescent="0.3">
      <c r="B73" s="8" t="s">
        <v>120</v>
      </c>
      <c r="C73" s="8" t="s">
        <v>121</v>
      </c>
      <c r="D73" s="12">
        <v>0</v>
      </c>
      <c r="E73" s="12">
        <v>198752.4</v>
      </c>
      <c r="F73" s="12">
        <v>198752.38</v>
      </c>
      <c r="G73" s="12">
        <f t="shared" ref="G73:G136" si="2">E73-F73</f>
        <v>1.9999999989522621E-2</v>
      </c>
      <c r="H73" s="12">
        <f t="shared" ref="H73:H136" si="3">D73+G73</f>
        <v>1.9999999989522621E-2</v>
      </c>
      <c r="I73" s="8" t="s">
        <v>119</v>
      </c>
    </row>
    <row r="74" spans="2:9" x14ac:dyDescent="0.3">
      <c r="B74" s="8" t="s">
        <v>122</v>
      </c>
      <c r="C74" s="8" t="s">
        <v>123</v>
      </c>
      <c r="D74" s="12">
        <v>17353.29</v>
      </c>
      <c r="E74" s="12">
        <v>0</v>
      </c>
      <c r="F74" s="12">
        <v>1852.87</v>
      </c>
      <c r="G74" s="12">
        <f t="shared" si="2"/>
        <v>-1852.87</v>
      </c>
      <c r="H74" s="12">
        <f t="shared" si="3"/>
        <v>15500.420000000002</v>
      </c>
      <c r="I74" s="8" t="s">
        <v>119</v>
      </c>
    </row>
    <row r="75" spans="2:9" x14ac:dyDescent="0.3">
      <c r="B75" s="8" t="s">
        <v>124</v>
      </c>
      <c r="C75" s="8" t="s">
        <v>125</v>
      </c>
      <c r="D75" s="12">
        <v>172.65</v>
      </c>
      <c r="E75" s="12">
        <v>222.76</v>
      </c>
      <c r="F75" s="12">
        <v>0</v>
      </c>
      <c r="G75" s="12">
        <f t="shared" si="2"/>
        <v>222.76</v>
      </c>
      <c r="H75" s="12">
        <f t="shared" si="3"/>
        <v>395.40999999999997</v>
      </c>
      <c r="I75" s="8" t="s">
        <v>119</v>
      </c>
    </row>
    <row r="76" spans="2:9" x14ac:dyDescent="0.3">
      <c r="B76" s="15" t="s">
        <v>126</v>
      </c>
      <c r="C76" s="15" t="s">
        <v>127</v>
      </c>
      <c r="D76" s="16"/>
      <c r="E76" s="16"/>
      <c r="F76" s="16"/>
      <c r="G76" s="16"/>
      <c r="H76" s="16"/>
      <c r="I76" s="15"/>
    </row>
    <row r="77" spans="2:9" x14ac:dyDescent="0.3">
      <c r="B77" s="8" t="s">
        <v>128</v>
      </c>
      <c r="C77" s="8" t="s">
        <v>129</v>
      </c>
      <c r="D77" s="12">
        <v>68051.05</v>
      </c>
      <c r="E77" s="12">
        <v>0</v>
      </c>
      <c r="F77" s="12">
        <v>12546</v>
      </c>
      <c r="G77" s="12">
        <f t="shared" si="2"/>
        <v>-12546</v>
      </c>
      <c r="H77" s="12">
        <f t="shared" si="3"/>
        <v>55505.05</v>
      </c>
      <c r="I77" s="8" t="s">
        <v>130</v>
      </c>
    </row>
    <row r="78" spans="2:9" x14ac:dyDescent="0.3">
      <c r="B78" s="8" t="s">
        <v>131</v>
      </c>
      <c r="C78" s="8" t="s">
        <v>132</v>
      </c>
      <c r="D78" s="12">
        <v>186025.46</v>
      </c>
      <c r="E78" s="12">
        <v>0</v>
      </c>
      <c r="F78" s="12">
        <v>0</v>
      </c>
      <c r="G78" s="12">
        <f t="shared" si="2"/>
        <v>0</v>
      </c>
      <c r="H78" s="12">
        <f t="shared" si="3"/>
        <v>186025.46</v>
      </c>
      <c r="I78" s="8" t="s">
        <v>130</v>
      </c>
    </row>
    <row r="79" spans="2:9" x14ac:dyDescent="0.3">
      <c r="B79" s="8" t="s">
        <v>467</v>
      </c>
      <c r="C79" s="8" t="s">
        <v>468</v>
      </c>
      <c r="D79" s="12">
        <v>9858.07</v>
      </c>
      <c r="E79" s="12">
        <v>0</v>
      </c>
      <c r="F79" s="12">
        <v>985.8</v>
      </c>
      <c r="G79" s="12">
        <f t="shared" si="2"/>
        <v>-985.8</v>
      </c>
      <c r="H79" s="12">
        <f t="shared" si="3"/>
        <v>8872.27</v>
      </c>
      <c r="I79" s="8" t="s">
        <v>130</v>
      </c>
    </row>
    <row r="80" spans="2:9" x14ac:dyDescent="0.3">
      <c r="B80" s="8" t="s">
        <v>133</v>
      </c>
      <c r="C80" s="8" t="s">
        <v>134</v>
      </c>
      <c r="D80" s="12">
        <v>-31004.22</v>
      </c>
      <c r="E80" s="12">
        <v>0</v>
      </c>
      <c r="F80" s="12">
        <v>15502.11</v>
      </c>
      <c r="G80" s="12">
        <f t="shared" si="2"/>
        <v>-15502.11</v>
      </c>
      <c r="H80" s="12">
        <f t="shared" si="3"/>
        <v>-46506.33</v>
      </c>
      <c r="I80" s="8" t="s">
        <v>130</v>
      </c>
    </row>
    <row r="81" spans="2:9" x14ac:dyDescent="0.3">
      <c r="B81" s="8" t="s">
        <v>135</v>
      </c>
      <c r="C81" s="8" t="s">
        <v>136</v>
      </c>
      <c r="D81" s="12">
        <v>-4735.63</v>
      </c>
      <c r="E81" s="12">
        <v>0</v>
      </c>
      <c r="F81" s="12">
        <v>919</v>
      </c>
      <c r="G81" s="12">
        <f t="shared" si="2"/>
        <v>-919</v>
      </c>
      <c r="H81" s="12">
        <f t="shared" si="3"/>
        <v>-5654.63</v>
      </c>
      <c r="I81" s="8" t="s">
        <v>130</v>
      </c>
    </row>
    <row r="82" spans="2:9" x14ac:dyDescent="0.3">
      <c r="B82" s="15" t="s">
        <v>137</v>
      </c>
      <c r="C82" s="15" t="s">
        <v>138</v>
      </c>
      <c r="D82" s="16"/>
      <c r="E82" s="16"/>
      <c r="F82" s="16"/>
      <c r="G82" s="16"/>
      <c r="H82" s="16"/>
      <c r="I82" s="15"/>
    </row>
    <row r="83" spans="2:9" x14ac:dyDescent="0.3">
      <c r="B83" s="8" t="s">
        <v>469</v>
      </c>
      <c r="C83" s="8" t="s">
        <v>470</v>
      </c>
      <c r="D83" s="12">
        <v>2465</v>
      </c>
      <c r="E83" s="12">
        <v>200</v>
      </c>
      <c r="F83" s="12">
        <v>2665</v>
      </c>
      <c r="G83" s="12">
        <f t="shared" si="2"/>
        <v>-2465</v>
      </c>
      <c r="H83" s="12">
        <f t="shared" si="3"/>
        <v>0</v>
      </c>
      <c r="I83" s="8" t="s">
        <v>141</v>
      </c>
    </row>
    <row r="84" spans="2:9" x14ac:dyDescent="0.3">
      <c r="B84" s="8" t="s">
        <v>471</v>
      </c>
      <c r="C84" s="8" t="s">
        <v>472</v>
      </c>
      <c r="D84" s="12">
        <v>124996.54</v>
      </c>
      <c r="E84" s="12">
        <v>28273</v>
      </c>
      <c r="F84" s="12">
        <v>10000</v>
      </c>
      <c r="G84" s="12">
        <f t="shared" si="2"/>
        <v>18273</v>
      </c>
      <c r="H84" s="12">
        <f t="shared" si="3"/>
        <v>143269.53999999998</v>
      </c>
      <c r="I84" s="8" t="s">
        <v>141</v>
      </c>
    </row>
    <row r="85" spans="2:9" x14ac:dyDescent="0.3">
      <c r="B85" s="8" t="s">
        <v>473</v>
      </c>
      <c r="C85" s="8" t="s">
        <v>474</v>
      </c>
      <c r="D85" s="12">
        <v>104098.21</v>
      </c>
      <c r="E85" s="12">
        <v>0</v>
      </c>
      <c r="F85" s="12">
        <v>0</v>
      </c>
      <c r="G85" s="12">
        <f t="shared" si="2"/>
        <v>0</v>
      </c>
      <c r="H85" s="12">
        <f t="shared" si="3"/>
        <v>104098.21</v>
      </c>
      <c r="I85" s="8" t="s">
        <v>141</v>
      </c>
    </row>
    <row r="86" spans="2:9" x14ac:dyDescent="0.3">
      <c r="B86" s="8" t="s">
        <v>142</v>
      </c>
      <c r="C86" s="8" t="s">
        <v>143</v>
      </c>
      <c r="D86" s="12">
        <v>6200</v>
      </c>
      <c r="E86" s="12">
        <v>0</v>
      </c>
      <c r="F86" s="12">
        <v>0</v>
      </c>
      <c r="G86" s="12">
        <f t="shared" si="2"/>
        <v>0</v>
      </c>
      <c r="H86" s="12">
        <f t="shared" si="3"/>
        <v>6200</v>
      </c>
      <c r="I86" s="8" t="s">
        <v>141</v>
      </c>
    </row>
    <row r="87" spans="2:9" x14ac:dyDescent="0.3">
      <c r="B87" s="8" t="s">
        <v>479</v>
      </c>
      <c r="C87" s="8" t="s">
        <v>480</v>
      </c>
      <c r="D87" s="12">
        <v>9300</v>
      </c>
      <c r="E87" s="12">
        <v>0</v>
      </c>
      <c r="F87" s="12">
        <v>0</v>
      </c>
      <c r="G87" s="12">
        <f t="shared" si="2"/>
        <v>0</v>
      </c>
      <c r="H87" s="12">
        <f t="shared" si="3"/>
        <v>9300</v>
      </c>
      <c r="I87" s="8" t="s">
        <v>141</v>
      </c>
    </row>
    <row r="88" spans="2:9" x14ac:dyDescent="0.3">
      <c r="B88" s="8" t="s">
        <v>618</v>
      </c>
      <c r="C88" s="8" t="s">
        <v>619</v>
      </c>
      <c r="D88" s="12">
        <v>0</v>
      </c>
      <c r="E88" s="12">
        <v>8417</v>
      </c>
      <c r="F88" s="12">
        <v>16291</v>
      </c>
      <c r="G88" s="12">
        <f t="shared" si="2"/>
        <v>-7874</v>
      </c>
      <c r="H88" s="12">
        <f t="shared" si="3"/>
        <v>-7874</v>
      </c>
      <c r="I88" s="8" t="s">
        <v>141</v>
      </c>
    </row>
    <row r="89" spans="2:9" x14ac:dyDescent="0.3">
      <c r="B89" s="8" t="s">
        <v>481</v>
      </c>
      <c r="C89" s="8" t="s">
        <v>482</v>
      </c>
      <c r="D89" s="12">
        <v>81540.33</v>
      </c>
      <c r="E89" s="12">
        <v>0</v>
      </c>
      <c r="F89" s="12">
        <v>0</v>
      </c>
      <c r="G89" s="12">
        <f t="shared" si="2"/>
        <v>0</v>
      </c>
      <c r="H89" s="12">
        <f t="shared" si="3"/>
        <v>81540.33</v>
      </c>
      <c r="I89" s="8" t="s">
        <v>141</v>
      </c>
    </row>
    <row r="90" spans="2:9" x14ac:dyDescent="0.3">
      <c r="B90" s="8" t="s">
        <v>144</v>
      </c>
      <c r="C90" s="8" t="s">
        <v>145</v>
      </c>
      <c r="D90" s="12">
        <v>600</v>
      </c>
      <c r="E90" s="12">
        <v>0</v>
      </c>
      <c r="F90" s="12">
        <v>600</v>
      </c>
      <c r="G90" s="12">
        <f t="shared" si="2"/>
        <v>-600</v>
      </c>
      <c r="H90" s="12">
        <f t="shared" si="3"/>
        <v>0</v>
      </c>
      <c r="I90" s="8" t="s">
        <v>141</v>
      </c>
    </row>
    <row r="91" spans="2:9" x14ac:dyDescent="0.3">
      <c r="B91" s="8" t="s">
        <v>146</v>
      </c>
      <c r="C91" s="8" t="s">
        <v>147</v>
      </c>
      <c r="D91" s="12">
        <v>600</v>
      </c>
      <c r="E91" s="12">
        <v>0</v>
      </c>
      <c r="F91" s="12">
        <v>600</v>
      </c>
      <c r="G91" s="12">
        <f t="shared" si="2"/>
        <v>-600</v>
      </c>
      <c r="H91" s="12">
        <f t="shared" si="3"/>
        <v>0</v>
      </c>
      <c r="I91" s="8" t="s">
        <v>141</v>
      </c>
    </row>
    <row r="92" spans="2:9" x14ac:dyDescent="0.3">
      <c r="B92" s="8" t="s">
        <v>148</v>
      </c>
      <c r="C92" s="8" t="s">
        <v>149</v>
      </c>
      <c r="D92" s="12">
        <v>600</v>
      </c>
      <c r="E92" s="12">
        <v>0</v>
      </c>
      <c r="F92" s="12">
        <v>600</v>
      </c>
      <c r="G92" s="12">
        <f t="shared" si="2"/>
        <v>-600</v>
      </c>
      <c r="H92" s="12">
        <f t="shared" si="3"/>
        <v>0</v>
      </c>
      <c r="I92" s="8" t="s">
        <v>141</v>
      </c>
    </row>
    <row r="93" spans="2:9" x14ac:dyDescent="0.3">
      <c r="B93" s="8" t="s">
        <v>150</v>
      </c>
      <c r="C93" s="8" t="s">
        <v>151</v>
      </c>
      <c r="D93" s="12">
        <v>300</v>
      </c>
      <c r="E93" s="12">
        <v>0</v>
      </c>
      <c r="F93" s="12">
        <v>300</v>
      </c>
      <c r="G93" s="12">
        <f t="shared" si="2"/>
        <v>-300</v>
      </c>
      <c r="H93" s="12">
        <f t="shared" si="3"/>
        <v>0</v>
      </c>
      <c r="I93" s="8" t="s">
        <v>141</v>
      </c>
    </row>
    <row r="94" spans="2:9" x14ac:dyDescent="0.3">
      <c r="B94" s="8" t="s">
        <v>152</v>
      </c>
      <c r="C94" s="8" t="s">
        <v>153</v>
      </c>
      <c r="D94" s="12">
        <v>600</v>
      </c>
      <c r="E94" s="12">
        <v>0</v>
      </c>
      <c r="F94" s="12">
        <v>600</v>
      </c>
      <c r="G94" s="12">
        <f t="shared" si="2"/>
        <v>-600</v>
      </c>
      <c r="H94" s="12">
        <f t="shared" si="3"/>
        <v>0</v>
      </c>
      <c r="I94" s="8" t="s">
        <v>141</v>
      </c>
    </row>
    <row r="95" spans="2:9" x14ac:dyDescent="0.3">
      <c r="B95" s="15" t="s">
        <v>154</v>
      </c>
      <c r="C95" s="15" t="s">
        <v>155</v>
      </c>
      <c r="D95" s="16"/>
      <c r="E95" s="16"/>
      <c r="F95" s="16"/>
      <c r="G95" s="16"/>
      <c r="H95" s="16"/>
      <c r="I95" s="15"/>
    </row>
    <row r="96" spans="2:9" x14ac:dyDescent="0.3">
      <c r="B96" s="8" t="s">
        <v>483</v>
      </c>
      <c r="C96" s="8" t="s">
        <v>484</v>
      </c>
      <c r="D96" s="12">
        <v>154069.01</v>
      </c>
      <c r="E96" s="12">
        <v>0</v>
      </c>
      <c r="F96" s="12">
        <v>0</v>
      </c>
      <c r="G96" s="12">
        <f t="shared" si="2"/>
        <v>0</v>
      </c>
      <c r="H96" s="12">
        <f t="shared" si="3"/>
        <v>154069.01</v>
      </c>
      <c r="I96" s="8" t="s">
        <v>158</v>
      </c>
    </row>
    <row r="97" spans="2:9" x14ac:dyDescent="0.3">
      <c r="B97" s="8" t="s">
        <v>156</v>
      </c>
      <c r="C97" s="8" t="s">
        <v>157</v>
      </c>
      <c r="D97" s="12">
        <v>73444.899999999994</v>
      </c>
      <c r="E97" s="12">
        <v>60000</v>
      </c>
      <c r="F97" s="12">
        <v>140203.4</v>
      </c>
      <c r="G97" s="12">
        <f t="shared" si="2"/>
        <v>-80203.399999999994</v>
      </c>
      <c r="H97" s="12">
        <f t="shared" si="3"/>
        <v>-6758.5</v>
      </c>
      <c r="I97" s="8" t="s">
        <v>158</v>
      </c>
    </row>
    <row r="98" spans="2:9" x14ac:dyDescent="0.3">
      <c r="B98" s="8" t="s">
        <v>485</v>
      </c>
      <c r="C98" s="8" t="s">
        <v>486</v>
      </c>
      <c r="D98" s="12">
        <v>257525</v>
      </c>
      <c r="E98" s="12">
        <v>0</v>
      </c>
      <c r="F98" s="12">
        <v>0</v>
      </c>
      <c r="G98" s="12">
        <f t="shared" si="2"/>
        <v>0</v>
      </c>
      <c r="H98" s="12">
        <f t="shared" si="3"/>
        <v>257525</v>
      </c>
      <c r="I98" s="8" t="s">
        <v>158</v>
      </c>
    </row>
    <row r="99" spans="2:9" x14ac:dyDescent="0.3">
      <c r="B99" s="8" t="s">
        <v>489</v>
      </c>
      <c r="C99" s="8" t="s">
        <v>490</v>
      </c>
      <c r="D99" s="12">
        <v>7439.29</v>
      </c>
      <c r="E99" s="12">
        <v>0</v>
      </c>
      <c r="F99" s="12">
        <v>5226.34</v>
      </c>
      <c r="G99" s="12">
        <f t="shared" si="2"/>
        <v>-5226.34</v>
      </c>
      <c r="H99" s="12">
        <f t="shared" si="3"/>
        <v>2212.9499999999998</v>
      </c>
      <c r="I99" s="8" t="s">
        <v>158</v>
      </c>
    </row>
    <row r="100" spans="2:9" x14ac:dyDescent="0.3">
      <c r="B100" s="8" t="s">
        <v>491</v>
      </c>
      <c r="C100" s="8" t="s">
        <v>492</v>
      </c>
      <c r="D100" s="12">
        <v>650000</v>
      </c>
      <c r="E100" s="12">
        <v>0</v>
      </c>
      <c r="F100" s="12">
        <v>0</v>
      </c>
      <c r="G100" s="12">
        <f t="shared" si="2"/>
        <v>0</v>
      </c>
      <c r="H100" s="12">
        <f t="shared" si="3"/>
        <v>650000</v>
      </c>
      <c r="I100" s="8" t="s">
        <v>158</v>
      </c>
    </row>
    <row r="101" spans="2:9" x14ac:dyDescent="0.3">
      <c r="B101" s="15" t="s">
        <v>159</v>
      </c>
      <c r="C101" s="15" t="s">
        <v>160</v>
      </c>
      <c r="D101" s="16"/>
      <c r="E101" s="16"/>
      <c r="F101" s="16"/>
      <c r="G101" s="16"/>
      <c r="H101" s="16"/>
      <c r="I101" s="15"/>
    </row>
    <row r="102" spans="2:9" x14ac:dyDescent="0.3">
      <c r="B102" s="8" t="s">
        <v>161</v>
      </c>
      <c r="C102" s="8" t="s">
        <v>162</v>
      </c>
      <c r="D102" s="12">
        <v>478560.97</v>
      </c>
      <c r="E102" s="12">
        <v>686734.48</v>
      </c>
      <c r="F102" s="12">
        <v>675395.81</v>
      </c>
      <c r="G102" s="12">
        <f t="shared" si="2"/>
        <v>11338.669999999925</v>
      </c>
      <c r="H102" s="12">
        <f t="shared" si="3"/>
        <v>489899.6399999999</v>
      </c>
      <c r="I102" s="8" t="s">
        <v>163</v>
      </c>
    </row>
    <row r="103" spans="2:9" x14ac:dyDescent="0.3">
      <c r="B103" s="8" t="s">
        <v>164</v>
      </c>
      <c r="C103" s="8" t="s">
        <v>165</v>
      </c>
      <c r="D103" s="12">
        <v>-424321.25</v>
      </c>
      <c r="E103" s="12">
        <v>637830.66</v>
      </c>
      <c r="F103" s="12">
        <v>631281.51</v>
      </c>
      <c r="G103" s="12">
        <f t="shared" si="2"/>
        <v>6549.1500000000233</v>
      </c>
      <c r="H103" s="12">
        <f t="shared" si="3"/>
        <v>-417772.1</v>
      </c>
      <c r="I103" s="8" t="s">
        <v>163</v>
      </c>
    </row>
    <row r="104" spans="2:9" x14ac:dyDescent="0.3">
      <c r="B104" s="8" t="s">
        <v>166</v>
      </c>
      <c r="C104" s="8" t="s">
        <v>167</v>
      </c>
      <c r="D104" s="12">
        <v>0</v>
      </c>
      <c r="E104" s="12">
        <v>637830.66</v>
      </c>
      <c r="F104" s="12">
        <v>637830.66</v>
      </c>
      <c r="G104" s="12">
        <f t="shared" si="2"/>
        <v>0</v>
      </c>
      <c r="H104" s="12">
        <f t="shared" si="3"/>
        <v>0</v>
      </c>
      <c r="I104" s="8" t="s">
        <v>163</v>
      </c>
    </row>
    <row r="105" spans="2:9" x14ac:dyDescent="0.3">
      <c r="B105" s="15" t="s">
        <v>493</v>
      </c>
      <c r="C105" s="15" t="s">
        <v>494</v>
      </c>
      <c r="D105" s="16"/>
      <c r="E105" s="16"/>
      <c r="F105" s="16"/>
      <c r="G105" s="16"/>
      <c r="H105" s="16"/>
      <c r="I105" s="15"/>
    </row>
    <row r="106" spans="2:9" x14ac:dyDescent="0.3">
      <c r="B106" s="8" t="s">
        <v>495</v>
      </c>
      <c r="C106" s="8" t="s">
        <v>496</v>
      </c>
      <c r="D106" s="12">
        <v>747534.5</v>
      </c>
      <c r="E106" s="12">
        <v>0</v>
      </c>
      <c r="F106" s="12">
        <v>0</v>
      </c>
      <c r="G106" s="12">
        <f t="shared" si="2"/>
        <v>0</v>
      </c>
      <c r="H106" s="12">
        <f t="shared" si="3"/>
        <v>747534.5</v>
      </c>
      <c r="I106" s="8" t="s">
        <v>497</v>
      </c>
    </row>
    <row r="107" spans="2:9" x14ac:dyDescent="0.3">
      <c r="B107" s="8" t="s">
        <v>498</v>
      </c>
      <c r="C107" s="8" t="s">
        <v>499</v>
      </c>
      <c r="D107" s="12">
        <v>2850</v>
      </c>
      <c r="E107" s="12">
        <v>0</v>
      </c>
      <c r="F107" s="12">
        <v>0</v>
      </c>
      <c r="G107" s="12">
        <f t="shared" si="2"/>
        <v>0</v>
      </c>
      <c r="H107" s="12">
        <f t="shared" si="3"/>
        <v>2850</v>
      </c>
      <c r="I107" s="8" t="s">
        <v>497</v>
      </c>
    </row>
    <row r="108" spans="2:9" x14ac:dyDescent="0.3">
      <c r="B108" s="8" t="s">
        <v>500</v>
      </c>
      <c r="C108" s="8" t="s">
        <v>501</v>
      </c>
      <c r="D108" s="12">
        <v>10500</v>
      </c>
      <c r="E108" s="12">
        <v>10000</v>
      </c>
      <c r="F108" s="12">
        <v>0</v>
      </c>
      <c r="G108" s="12">
        <f t="shared" si="2"/>
        <v>10000</v>
      </c>
      <c r="H108" s="12">
        <f t="shared" si="3"/>
        <v>20500</v>
      </c>
      <c r="I108" s="8" t="s">
        <v>497</v>
      </c>
    </row>
    <row r="109" spans="2:9" x14ac:dyDescent="0.3">
      <c r="B109" s="15" t="s">
        <v>168</v>
      </c>
      <c r="C109" s="15" t="s">
        <v>169</v>
      </c>
      <c r="D109" s="16"/>
      <c r="E109" s="16"/>
      <c r="F109" s="16"/>
      <c r="G109" s="16"/>
      <c r="H109" s="16"/>
      <c r="I109" s="15"/>
    </row>
    <row r="110" spans="2:9" x14ac:dyDescent="0.3">
      <c r="B110" s="8" t="s">
        <v>170</v>
      </c>
      <c r="C110" s="8" t="s">
        <v>171</v>
      </c>
      <c r="D110" s="12">
        <v>-20975.73</v>
      </c>
      <c r="E110" s="12">
        <v>0</v>
      </c>
      <c r="F110" s="12">
        <v>11021.64</v>
      </c>
      <c r="G110" s="12">
        <f t="shared" si="2"/>
        <v>-11021.64</v>
      </c>
      <c r="H110" s="12">
        <f t="shared" si="3"/>
        <v>-31997.37</v>
      </c>
      <c r="I110" s="8" t="s">
        <v>172</v>
      </c>
    </row>
    <row r="111" spans="2:9" x14ac:dyDescent="0.3">
      <c r="B111" s="8" t="s">
        <v>173</v>
      </c>
      <c r="C111" s="8" t="s">
        <v>174</v>
      </c>
      <c r="D111" s="12">
        <v>-1679.65</v>
      </c>
      <c r="E111" s="12">
        <v>0</v>
      </c>
      <c r="F111" s="12">
        <v>883.21</v>
      </c>
      <c r="G111" s="12">
        <f t="shared" si="2"/>
        <v>-883.21</v>
      </c>
      <c r="H111" s="12">
        <f t="shared" si="3"/>
        <v>-2562.86</v>
      </c>
      <c r="I111" s="8" t="s">
        <v>172</v>
      </c>
    </row>
    <row r="112" spans="2:9" x14ac:dyDescent="0.3">
      <c r="B112" s="8" t="s">
        <v>175</v>
      </c>
      <c r="C112" s="8" t="s">
        <v>176</v>
      </c>
      <c r="D112" s="12">
        <v>-200.51</v>
      </c>
      <c r="E112" s="12">
        <v>0</v>
      </c>
      <c r="F112" s="12">
        <v>559.13</v>
      </c>
      <c r="G112" s="12">
        <f t="shared" si="2"/>
        <v>-559.13</v>
      </c>
      <c r="H112" s="12">
        <f t="shared" si="3"/>
        <v>-759.64</v>
      </c>
      <c r="I112" s="8" t="s">
        <v>172</v>
      </c>
    </row>
    <row r="113" spans="2:9" x14ac:dyDescent="0.3">
      <c r="B113" s="8" t="s">
        <v>177</v>
      </c>
      <c r="C113" s="8" t="s">
        <v>178</v>
      </c>
      <c r="D113" s="12">
        <v>-160.91</v>
      </c>
      <c r="E113" s="12">
        <v>0</v>
      </c>
      <c r="F113" s="12">
        <v>84.59</v>
      </c>
      <c r="G113" s="12">
        <f t="shared" si="2"/>
        <v>-84.59</v>
      </c>
      <c r="H113" s="12">
        <f t="shared" si="3"/>
        <v>-245.5</v>
      </c>
      <c r="I113" s="8" t="s">
        <v>172</v>
      </c>
    </row>
    <row r="114" spans="2:9" x14ac:dyDescent="0.3">
      <c r="B114" s="8" t="s">
        <v>179</v>
      </c>
      <c r="C114" s="8" t="s">
        <v>180</v>
      </c>
      <c r="D114" s="12">
        <v>-9003.25</v>
      </c>
      <c r="E114" s="12">
        <v>0</v>
      </c>
      <c r="F114" s="12">
        <v>466.06</v>
      </c>
      <c r="G114" s="12">
        <f t="shared" si="2"/>
        <v>-466.06</v>
      </c>
      <c r="H114" s="12">
        <f t="shared" si="3"/>
        <v>-9469.31</v>
      </c>
      <c r="I114" s="8" t="s">
        <v>172</v>
      </c>
    </row>
    <row r="115" spans="2:9" x14ac:dyDescent="0.3">
      <c r="B115" s="8" t="s">
        <v>181</v>
      </c>
      <c r="C115" s="8" t="s">
        <v>182</v>
      </c>
      <c r="D115" s="12">
        <v>-903.91</v>
      </c>
      <c r="E115" s="12">
        <v>0</v>
      </c>
      <c r="F115" s="12">
        <v>474.8</v>
      </c>
      <c r="G115" s="12">
        <f t="shared" si="2"/>
        <v>-474.8</v>
      </c>
      <c r="H115" s="12">
        <f t="shared" si="3"/>
        <v>-1378.71</v>
      </c>
      <c r="I115" s="8" t="s">
        <v>172</v>
      </c>
    </row>
    <row r="116" spans="2:9" x14ac:dyDescent="0.3">
      <c r="B116" s="8" t="s">
        <v>183</v>
      </c>
      <c r="C116" s="8" t="s">
        <v>184</v>
      </c>
      <c r="D116" s="12">
        <v>-103.32</v>
      </c>
      <c r="E116" s="12">
        <v>0</v>
      </c>
      <c r="F116" s="12">
        <v>55.05</v>
      </c>
      <c r="G116" s="12">
        <f t="shared" si="2"/>
        <v>-55.05</v>
      </c>
      <c r="H116" s="12">
        <f t="shared" si="3"/>
        <v>-158.37</v>
      </c>
      <c r="I116" s="8" t="s">
        <v>172</v>
      </c>
    </row>
    <row r="117" spans="2:9" x14ac:dyDescent="0.3">
      <c r="B117" s="15" t="s">
        <v>185</v>
      </c>
      <c r="C117" s="15" t="s">
        <v>186</v>
      </c>
      <c r="D117" s="16"/>
      <c r="E117" s="16"/>
      <c r="F117" s="16"/>
      <c r="G117" s="16"/>
      <c r="H117" s="16"/>
      <c r="I117" s="15"/>
    </row>
    <row r="118" spans="2:9" x14ac:dyDescent="0.3">
      <c r="B118" s="8" t="s">
        <v>187</v>
      </c>
      <c r="C118" s="8" t="s">
        <v>188</v>
      </c>
      <c r="D118" s="12">
        <v>862.5</v>
      </c>
      <c r="E118" s="12">
        <v>0</v>
      </c>
      <c r="F118" s="12">
        <v>0</v>
      </c>
      <c r="G118" s="12">
        <f t="shared" si="2"/>
        <v>0</v>
      </c>
      <c r="H118" s="12">
        <f t="shared" si="3"/>
        <v>862.5</v>
      </c>
      <c r="I118" s="8" t="s">
        <v>189</v>
      </c>
    </row>
    <row r="119" spans="2:9" x14ac:dyDescent="0.3">
      <c r="B119" s="8" t="s">
        <v>502</v>
      </c>
      <c r="C119" s="8" t="s">
        <v>503</v>
      </c>
      <c r="D119" s="12">
        <v>-13650.38</v>
      </c>
      <c r="E119" s="12">
        <v>13528.5</v>
      </c>
      <c r="F119" s="12">
        <v>0</v>
      </c>
      <c r="G119" s="12">
        <f t="shared" si="2"/>
        <v>13528.5</v>
      </c>
      <c r="H119" s="12">
        <f t="shared" si="3"/>
        <v>-121.8799999999992</v>
      </c>
      <c r="I119" s="8" t="s">
        <v>189</v>
      </c>
    </row>
    <row r="120" spans="2:9" x14ac:dyDescent="0.3">
      <c r="B120" s="8" t="s">
        <v>504</v>
      </c>
      <c r="C120" s="8" t="s">
        <v>505</v>
      </c>
      <c r="D120" s="12">
        <v>-415.5</v>
      </c>
      <c r="E120" s="12">
        <v>0</v>
      </c>
      <c r="F120" s="12">
        <v>0</v>
      </c>
      <c r="G120" s="12">
        <f t="shared" si="2"/>
        <v>0</v>
      </c>
      <c r="H120" s="12">
        <f t="shared" si="3"/>
        <v>-415.5</v>
      </c>
      <c r="I120" s="8" t="s">
        <v>189</v>
      </c>
    </row>
    <row r="121" spans="2:9" x14ac:dyDescent="0.3">
      <c r="B121" s="8" t="s">
        <v>190</v>
      </c>
      <c r="C121" s="8" t="s">
        <v>191</v>
      </c>
      <c r="D121" s="12">
        <v>-1000</v>
      </c>
      <c r="E121" s="12">
        <v>1000</v>
      </c>
      <c r="F121" s="12">
        <v>0</v>
      </c>
      <c r="G121" s="12">
        <f t="shared" si="2"/>
        <v>1000</v>
      </c>
      <c r="H121" s="12">
        <f t="shared" si="3"/>
        <v>0</v>
      </c>
      <c r="I121" s="8" t="s">
        <v>189</v>
      </c>
    </row>
    <row r="122" spans="2:9" x14ac:dyDescent="0.3">
      <c r="B122" s="8" t="s">
        <v>192</v>
      </c>
      <c r="C122" s="8" t="s">
        <v>193</v>
      </c>
      <c r="D122" s="12">
        <v>4337.7299999999996</v>
      </c>
      <c r="E122" s="12">
        <v>70693.009999999995</v>
      </c>
      <c r="F122" s="12">
        <v>75030.740000000005</v>
      </c>
      <c r="G122" s="12">
        <f t="shared" si="2"/>
        <v>-4337.7300000000105</v>
      </c>
      <c r="H122" s="12">
        <f t="shared" si="3"/>
        <v>-1.0913936421275139E-11</v>
      </c>
      <c r="I122" s="8" t="s">
        <v>189</v>
      </c>
    </row>
    <row r="123" spans="2:9" x14ac:dyDescent="0.3">
      <c r="B123" s="8" t="s">
        <v>506</v>
      </c>
      <c r="C123" s="8" t="s">
        <v>507</v>
      </c>
      <c r="D123" s="12">
        <v>-16470.38</v>
      </c>
      <c r="E123" s="12">
        <v>15338.7</v>
      </c>
      <c r="F123" s="12">
        <v>1630.13</v>
      </c>
      <c r="G123" s="12">
        <f t="shared" si="2"/>
        <v>13708.57</v>
      </c>
      <c r="H123" s="12">
        <f t="shared" si="3"/>
        <v>-2761.8100000000013</v>
      </c>
      <c r="I123" s="8" t="s">
        <v>189</v>
      </c>
    </row>
    <row r="124" spans="2:9" x14ac:dyDescent="0.3">
      <c r="B124" s="8" t="s">
        <v>194</v>
      </c>
      <c r="C124" s="8" t="s">
        <v>195</v>
      </c>
      <c r="D124" s="12">
        <v>0</v>
      </c>
      <c r="E124" s="12">
        <v>173195</v>
      </c>
      <c r="F124" s="12">
        <v>173195</v>
      </c>
      <c r="G124" s="12">
        <f t="shared" si="2"/>
        <v>0</v>
      </c>
      <c r="H124" s="12">
        <f t="shared" si="3"/>
        <v>0</v>
      </c>
      <c r="I124" s="8" t="s">
        <v>189</v>
      </c>
    </row>
    <row r="125" spans="2:9" x14ac:dyDescent="0.3">
      <c r="B125" s="8" t="s">
        <v>196</v>
      </c>
      <c r="C125" s="8" t="s">
        <v>197</v>
      </c>
      <c r="D125" s="12">
        <v>-1393740.33</v>
      </c>
      <c r="E125" s="12">
        <v>0</v>
      </c>
      <c r="F125" s="12">
        <v>0</v>
      </c>
      <c r="G125" s="12">
        <f t="shared" si="2"/>
        <v>0</v>
      </c>
      <c r="H125" s="12">
        <f t="shared" si="3"/>
        <v>-1393740.33</v>
      </c>
      <c r="I125" s="8" t="s">
        <v>189</v>
      </c>
    </row>
    <row r="126" spans="2:9" x14ac:dyDescent="0.3">
      <c r="B126" s="8" t="s">
        <v>198</v>
      </c>
      <c r="C126" s="8" t="s">
        <v>199</v>
      </c>
      <c r="D126" s="12">
        <v>0.25</v>
      </c>
      <c r="E126" s="12">
        <v>0</v>
      </c>
      <c r="F126" s="12">
        <v>0</v>
      </c>
      <c r="G126" s="12">
        <f t="shared" si="2"/>
        <v>0</v>
      </c>
      <c r="H126" s="12">
        <f t="shared" si="3"/>
        <v>0.25</v>
      </c>
      <c r="I126" s="8" t="s">
        <v>189</v>
      </c>
    </row>
    <row r="127" spans="2:9" x14ac:dyDescent="0.3">
      <c r="B127" s="8" t="s">
        <v>508</v>
      </c>
      <c r="C127" s="8" t="s">
        <v>509</v>
      </c>
      <c r="D127" s="12">
        <v>0</v>
      </c>
      <c r="E127" s="12">
        <v>9770</v>
      </c>
      <c r="F127" s="12">
        <v>9770.4</v>
      </c>
      <c r="G127" s="12">
        <f t="shared" si="2"/>
        <v>-0.3999999999996362</v>
      </c>
      <c r="H127" s="12">
        <f t="shared" si="3"/>
        <v>-0.3999999999996362</v>
      </c>
      <c r="I127" s="8" t="s">
        <v>189</v>
      </c>
    </row>
    <row r="128" spans="2:9" x14ac:dyDescent="0.3">
      <c r="B128" s="8" t="s">
        <v>510</v>
      </c>
      <c r="C128" s="8" t="s">
        <v>511</v>
      </c>
      <c r="D128" s="12">
        <v>-1640</v>
      </c>
      <c r="E128" s="12">
        <v>0</v>
      </c>
      <c r="F128" s="12">
        <v>0</v>
      </c>
      <c r="G128" s="12">
        <f t="shared" si="2"/>
        <v>0</v>
      </c>
      <c r="H128" s="12">
        <f t="shared" si="3"/>
        <v>-1640</v>
      </c>
      <c r="I128" s="8" t="s">
        <v>189</v>
      </c>
    </row>
    <row r="129" spans="2:9" x14ac:dyDescent="0.3">
      <c r="B129" s="8" t="s">
        <v>620</v>
      </c>
      <c r="C129" s="8" t="s">
        <v>621</v>
      </c>
      <c r="D129" s="12">
        <v>0</v>
      </c>
      <c r="E129" s="12">
        <v>2570</v>
      </c>
      <c r="F129" s="12">
        <v>2570.25</v>
      </c>
      <c r="G129" s="12">
        <f t="shared" si="2"/>
        <v>-0.25</v>
      </c>
      <c r="H129" s="12">
        <f t="shared" si="3"/>
        <v>-0.25</v>
      </c>
      <c r="I129" s="8" t="s">
        <v>189</v>
      </c>
    </row>
    <row r="130" spans="2:9" x14ac:dyDescent="0.3">
      <c r="B130" s="8" t="s">
        <v>514</v>
      </c>
      <c r="C130" s="8" t="s">
        <v>515</v>
      </c>
      <c r="D130" s="12">
        <v>-18179.2</v>
      </c>
      <c r="E130" s="12">
        <v>19639</v>
      </c>
      <c r="F130" s="12">
        <v>39691.1</v>
      </c>
      <c r="G130" s="12">
        <f t="shared" si="2"/>
        <v>-20052.099999999999</v>
      </c>
      <c r="H130" s="12">
        <f t="shared" si="3"/>
        <v>-38231.300000000003</v>
      </c>
      <c r="I130" s="8" t="s">
        <v>189</v>
      </c>
    </row>
    <row r="131" spans="2:9" x14ac:dyDescent="0.3">
      <c r="B131" s="8" t="s">
        <v>516</v>
      </c>
      <c r="C131" s="8" t="s">
        <v>517</v>
      </c>
      <c r="D131" s="12">
        <v>-32678.400000000001</v>
      </c>
      <c r="E131" s="12">
        <v>0</v>
      </c>
      <c r="F131" s="12">
        <v>0</v>
      </c>
      <c r="G131" s="12">
        <f t="shared" si="2"/>
        <v>0</v>
      </c>
      <c r="H131" s="12">
        <f t="shared" si="3"/>
        <v>-32678.400000000001</v>
      </c>
      <c r="I131" s="8" t="s">
        <v>189</v>
      </c>
    </row>
    <row r="132" spans="2:9" x14ac:dyDescent="0.3">
      <c r="B132" s="8" t="s">
        <v>518</v>
      </c>
      <c r="C132" s="8" t="s">
        <v>519</v>
      </c>
      <c r="D132" s="12">
        <v>-667834.39</v>
      </c>
      <c r="E132" s="12">
        <v>285936</v>
      </c>
      <c r="F132" s="12">
        <v>739330.7</v>
      </c>
      <c r="G132" s="12">
        <f t="shared" si="2"/>
        <v>-453394.69999999995</v>
      </c>
      <c r="H132" s="12">
        <f t="shared" si="3"/>
        <v>-1121229.0899999999</v>
      </c>
      <c r="I132" s="8" t="s">
        <v>189</v>
      </c>
    </row>
    <row r="133" spans="2:9" x14ac:dyDescent="0.3">
      <c r="B133" s="8" t="s">
        <v>520</v>
      </c>
      <c r="C133" s="8" t="s">
        <v>521</v>
      </c>
      <c r="D133" s="12">
        <v>-24199.46</v>
      </c>
      <c r="E133" s="12">
        <v>24196</v>
      </c>
      <c r="F133" s="12">
        <v>35236</v>
      </c>
      <c r="G133" s="12">
        <f t="shared" si="2"/>
        <v>-11040</v>
      </c>
      <c r="H133" s="12">
        <f t="shared" si="3"/>
        <v>-35239.46</v>
      </c>
      <c r="I133" s="8" t="s">
        <v>189</v>
      </c>
    </row>
    <row r="134" spans="2:9" x14ac:dyDescent="0.3">
      <c r="B134" s="8" t="s">
        <v>202</v>
      </c>
      <c r="C134" s="8" t="s">
        <v>203</v>
      </c>
      <c r="D134" s="12">
        <v>10000</v>
      </c>
      <c r="E134" s="12">
        <v>1814.7</v>
      </c>
      <c r="F134" s="12">
        <v>6242.57</v>
      </c>
      <c r="G134" s="12">
        <f t="shared" si="2"/>
        <v>-4427.87</v>
      </c>
      <c r="H134" s="12">
        <f t="shared" si="3"/>
        <v>5572.13</v>
      </c>
      <c r="I134" s="8" t="s">
        <v>189</v>
      </c>
    </row>
    <row r="135" spans="2:9" x14ac:dyDescent="0.3">
      <c r="B135" s="8" t="s">
        <v>522</v>
      </c>
      <c r="C135" s="8" t="s">
        <v>523</v>
      </c>
      <c r="D135" s="12">
        <v>-187995.2</v>
      </c>
      <c r="E135" s="12">
        <v>0</v>
      </c>
      <c r="F135" s="12">
        <v>0</v>
      </c>
      <c r="G135" s="12">
        <f t="shared" si="2"/>
        <v>0</v>
      </c>
      <c r="H135" s="12">
        <f t="shared" si="3"/>
        <v>-187995.2</v>
      </c>
      <c r="I135" s="8" t="s">
        <v>189</v>
      </c>
    </row>
    <row r="136" spans="2:9" x14ac:dyDescent="0.3">
      <c r="B136" s="8" t="s">
        <v>524</v>
      </c>
      <c r="C136" s="8" t="s">
        <v>525</v>
      </c>
      <c r="D136" s="12">
        <v>-301.38</v>
      </c>
      <c r="E136" s="12">
        <v>0</v>
      </c>
      <c r="F136" s="12">
        <v>276</v>
      </c>
      <c r="G136" s="12">
        <f t="shared" si="2"/>
        <v>-276</v>
      </c>
      <c r="H136" s="12">
        <f t="shared" si="3"/>
        <v>-577.38</v>
      </c>
      <c r="I136" s="8" t="s">
        <v>189</v>
      </c>
    </row>
    <row r="137" spans="2:9" x14ac:dyDescent="0.3">
      <c r="B137" s="8" t="s">
        <v>526</v>
      </c>
      <c r="C137" s="8" t="s">
        <v>527</v>
      </c>
      <c r="D137" s="12">
        <v>-0.3</v>
      </c>
      <c r="E137" s="12">
        <v>0</v>
      </c>
      <c r="F137" s="12">
        <v>0</v>
      </c>
      <c r="G137" s="12">
        <f t="shared" ref="G137:G200" si="4">E137-F137</f>
        <v>0</v>
      </c>
      <c r="H137" s="12">
        <f t="shared" ref="H137:H200" si="5">D137+G137</f>
        <v>-0.3</v>
      </c>
      <c r="I137" s="8" t="s">
        <v>189</v>
      </c>
    </row>
    <row r="138" spans="2:9" x14ac:dyDescent="0.3">
      <c r="B138" s="8" t="s">
        <v>528</v>
      </c>
      <c r="C138" s="8" t="s">
        <v>529</v>
      </c>
      <c r="D138" s="12">
        <v>50285.66</v>
      </c>
      <c r="E138" s="12">
        <v>0</v>
      </c>
      <c r="F138" s="12">
        <v>0</v>
      </c>
      <c r="G138" s="12">
        <f t="shared" si="4"/>
        <v>0</v>
      </c>
      <c r="H138" s="12">
        <f t="shared" si="5"/>
        <v>50285.66</v>
      </c>
      <c r="I138" s="8" t="s">
        <v>189</v>
      </c>
    </row>
    <row r="139" spans="2:9" x14ac:dyDescent="0.3">
      <c r="B139" s="8" t="s">
        <v>204</v>
      </c>
      <c r="C139" s="8" t="s">
        <v>205</v>
      </c>
      <c r="D139" s="12">
        <v>0</v>
      </c>
      <c r="E139" s="12">
        <v>14978.15</v>
      </c>
      <c r="F139" s="12">
        <v>14978.15</v>
      </c>
      <c r="G139" s="12">
        <f t="shared" si="4"/>
        <v>0</v>
      </c>
      <c r="H139" s="12">
        <f t="shared" si="5"/>
        <v>0</v>
      </c>
      <c r="I139" s="8" t="s">
        <v>189</v>
      </c>
    </row>
    <row r="140" spans="2:9" x14ac:dyDescent="0.3">
      <c r="B140" s="8" t="s">
        <v>530</v>
      </c>
      <c r="C140" s="8" t="s">
        <v>448</v>
      </c>
      <c r="D140" s="12">
        <v>-13085.93</v>
      </c>
      <c r="E140" s="12">
        <v>13085.93</v>
      </c>
      <c r="F140" s="12">
        <v>0</v>
      </c>
      <c r="G140" s="12">
        <f t="shared" si="4"/>
        <v>13085.93</v>
      </c>
      <c r="H140" s="12">
        <f t="shared" si="5"/>
        <v>0</v>
      </c>
      <c r="I140" s="8" t="s">
        <v>189</v>
      </c>
    </row>
    <row r="141" spans="2:9" x14ac:dyDescent="0.3">
      <c r="B141" s="8" t="s">
        <v>531</v>
      </c>
      <c r="C141" s="8" t="s">
        <v>532</v>
      </c>
      <c r="D141" s="12">
        <v>-50285.66</v>
      </c>
      <c r="E141" s="12">
        <v>0</v>
      </c>
      <c r="F141" s="12">
        <v>0</v>
      </c>
      <c r="G141" s="12">
        <f t="shared" si="4"/>
        <v>0</v>
      </c>
      <c r="H141" s="12">
        <f t="shared" si="5"/>
        <v>-50285.66</v>
      </c>
      <c r="I141" s="8" t="s">
        <v>189</v>
      </c>
    </row>
    <row r="142" spans="2:9" x14ac:dyDescent="0.3">
      <c r="B142" s="8" t="s">
        <v>533</v>
      </c>
      <c r="C142" s="8" t="s">
        <v>534</v>
      </c>
      <c r="D142" s="12">
        <v>-90</v>
      </c>
      <c r="E142" s="12">
        <v>0</v>
      </c>
      <c r="F142" s="12">
        <v>0</v>
      </c>
      <c r="G142" s="12">
        <f t="shared" si="4"/>
        <v>0</v>
      </c>
      <c r="H142" s="12">
        <f t="shared" si="5"/>
        <v>-90</v>
      </c>
      <c r="I142" s="8" t="s">
        <v>189</v>
      </c>
    </row>
    <row r="143" spans="2:9" x14ac:dyDescent="0.3">
      <c r="B143" s="8" t="s">
        <v>535</v>
      </c>
      <c r="C143" s="8" t="s">
        <v>536</v>
      </c>
      <c r="D143" s="12">
        <v>-7039.15</v>
      </c>
      <c r="E143" s="12">
        <v>7039.15</v>
      </c>
      <c r="F143" s="12">
        <v>0</v>
      </c>
      <c r="G143" s="12">
        <f t="shared" si="4"/>
        <v>7039.15</v>
      </c>
      <c r="H143" s="12">
        <f t="shared" si="5"/>
        <v>0</v>
      </c>
      <c r="I143" s="8" t="s">
        <v>189</v>
      </c>
    </row>
    <row r="144" spans="2:9" x14ac:dyDescent="0.3">
      <c r="B144" s="8" t="s">
        <v>537</v>
      </c>
      <c r="C144" s="8" t="s">
        <v>538</v>
      </c>
      <c r="D144" s="12">
        <v>-9447.25</v>
      </c>
      <c r="E144" s="12">
        <v>9447.25</v>
      </c>
      <c r="F144" s="12">
        <v>0</v>
      </c>
      <c r="G144" s="12">
        <f t="shared" si="4"/>
        <v>9447.25</v>
      </c>
      <c r="H144" s="12">
        <f t="shared" si="5"/>
        <v>0</v>
      </c>
      <c r="I144" s="8" t="s">
        <v>189</v>
      </c>
    </row>
    <row r="145" spans="2:9" x14ac:dyDescent="0.3">
      <c r="B145" s="8" t="s">
        <v>206</v>
      </c>
      <c r="C145" s="8" t="s">
        <v>207</v>
      </c>
      <c r="D145" s="12">
        <v>-0.6</v>
      </c>
      <c r="E145" s="12">
        <v>1070</v>
      </c>
      <c r="F145" s="12">
        <v>1070.6500000000001</v>
      </c>
      <c r="G145" s="12">
        <f t="shared" si="4"/>
        <v>-0.65000000000009095</v>
      </c>
      <c r="H145" s="12">
        <f t="shared" si="5"/>
        <v>-1.250000000000091</v>
      </c>
      <c r="I145" s="8" t="s">
        <v>189</v>
      </c>
    </row>
    <row r="146" spans="2:9" x14ac:dyDescent="0.3">
      <c r="B146" s="8" t="s">
        <v>622</v>
      </c>
      <c r="C146" s="8" t="s">
        <v>623</v>
      </c>
      <c r="D146" s="12">
        <v>0</v>
      </c>
      <c r="E146" s="12">
        <v>0</v>
      </c>
      <c r="F146" s="12">
        <v>211.76</v>
      </c>
      <c r="G146" s="12">
        <f t="shared" si="4"/>
        <v>-211.76</v>
      </c>
      <c r="H146" s="12">
        <f t="shared" si="5"/>
        <v>-211.76</v>
      </c>
      <c r="I146" s="8" t="s">
        <v>189</v>
      </c>
    </row>
    <row r="147" spans="2:9" x14ac:dyDescent="0.3">
      <c r="B147" s="8" t="s">
        <v>539</v>
      </c>
      <c r="C147" s="8" t="s">
        <v>540</v>
      </c>
      <c r="D147" s="12">
        <v>-481309.19</v>
      </c>
      <c r="E147" s="12">
        <v>0</v>
      </c>
      <c r="F147" s="12">
        <v>0</v>
      </c>
      <c r="G147" s="12">
        <f t="shared" si="4"/>
        <v>0</v>
      </c>
      <c r="H147" s="12">
        <f t="shared" si="5"/>
        <v>-481309.19</v>
      </c>
      <c r="I147" s="8" t="s">
        <v>189</v>
      </c>
    </row>
    <row r="148" spans="2:9" x14ac:dyDescent="0.3">
      <c r="B148" s="8" t="s">
        <v>208</v>
      </c>
      <c r="C148" s="8" t="s">
        <v>209</v>
      </c>
      <c r="D148" s="12">
        <v>281410.44</v>
      </c>
      <c r="E148" s="12">
        <v>1348485.1200000001</v>
      </c>
      <c r="F148" s="12">
        <v>674370.1</v>
      </c>
      <c r="G148" s="12">
        <f t="shared" si="4"/>
        <v>674115.02000000014</v>
      </c>
      <c r="H148" s="12">
        <f t="shared" si="5"/>
        <v>955525.4600000002</v>
      </c>
      <c r="I148" s="8" t="s">
        <v>189</v>
      </c>
    </row>
    <row r="149" spans="2:9" x14ac:dyDescent="0.3">
      <c r="B149" s="8" t="s">
        <v>624</v>
      </c>
      <c r="C149" s="8" t="s">
        <v>625</v>
      </c>
      <c r="D149" s="12">
        <v>0</v>
      </c>
      <c r="E149" s="12">
        <v>80500</v>
      </c>
      <c r="F149" s="12">
        <v>0</v>
      </c>
      <c r="G149" s="12">
        <f t="shared" si="4"/>
        <v>80500</v>
      </c>
      <c r="H149" s="12">
        <f t="shared" si="5"/>
        <v>80500</v>
      </c>
      <c r="I149" s="8" t="s">
        <v>189</v>
      </c>
    </row>
    <row r="150" spans="2:9" x14ac:dyDescent="0.3">
      <c r="B150" s="8" t="s">
        <v>541</v>
      </c>
      <c r="C150" s="8" t="s">
        <v>542</v>
      </c>
      <c r="D150" s="12">
        <v>20945.27</v>
      </c>
      <c r="E150" s="12">
        <v>0</v>
      </c>
      <c r="F150" s="12">
        <v>0</v>
      </c>
      <c r="G150" s="12">
        <f t="shared" si="4"/>
        <v>0</v>
      </c>
      <c r="H150" s="12">
        <f t="shared" si="5"/>
        <v>20945.27</v>
      </c>
      <c r="I150" s="8" t="s">
        <v>189</v>
      </c>
    </row>
    <row r="151" spans="2:9" x14ac:dyDescent="0.3">
      <c r="B151" s="8" t="s">
        <v>543</v>
      </c>
      <c r="C151" s="8" t="s">
        <v>544</v>
      </c>
      <c r="D151" s="12">
        <v>-89152.02</v>
      </c>
      <c r="E151" s="12">
        <v>41095.29</v>
      </c>
      <c r="F151" s="12">
        <v>20444.45</v>
      </c>
      <c r="G151" s="12">
        <f t="shared" si="4"/>
        <v>20650.84</v>
      </c>
      <c r="H151" s="12">
        <f t="shared" si="5"/>
        <v>-68501.180000000008</v>
      </c>
      <c r="I151" s="8" t="s">
        <v>189</v>
      </c>
    </row>
    <row r="152" spans="2:9" x14ac:dyDescent="0.3">
      <c r="B152" s="8" t="s">
        <v>545</v>
      </c>
      <c r="C152" s="8" t="s">
        <v>546</v>
      </c>
      <c r="D152" s="12">
        <v>-8735</v>
      </c>
      <c r="E152" s="12">
        <v>8735</v>
      </c>
      <c r="F152" s="12">
        <v>0</v>
      </c>
      <c r="G152" s="12">
        <f t="shared" si="4"/>
        <v>8735</v>
      </c>
      <c r="H152" s="12">
        <f t="shared" si="5"/>
        <v>0</v>
      </c>
      <c r="I152" s="8" t="s">
        <v>189</v>
      </c>
    </row>
    <row r="153" spans="2:9" x14ac:dyDescent="0.3">
      <c r="B153" s="8" t="s">
        <v>547</v>
      </c>
      <c r="C153" s="8" t="s">
        <v>548</v>
      </c>
      <c r="D153" s="12">
        <v>-71000</v>
      </c>
      <c r="E153" s="12">
        <v>0</v>
      </c>
      <c r="F153" s="12">
        <v>0</v>
      </c>
      <c r="G153" s="12">
        <f t="shared" si="4"/>
        <v>0</v>
      </c>
      <c r="H153" s="12">
        <f t="shared" si="5"/>
        <v>-71000</v>
      </c>
      <c r="I153" s="8" t="s">
        <v>189</v>
      </c>
    </row>
    <row r="154" spans="2:9" x14ac:dyDescent="0.3">
      <c r="B154" s="8" t="s">
        <v>549</v>
      </c>
      <c r="C154" s="8" t="s">
        <v>550</v>
      </c>
      <c r="D154" s="12">
        <v>-374265.46</v>
      </c>
      <c r="E154" s="12">
        <v>0</v>
      </c>
      <c r="F154" s="12">
        <v>0</v>
      </c>
      <c r="G154" s="12">
        <f t="shared" si="4"/>
        <v>0</v>
      </c>
      <c r="H154" s="12">
        <f t="shared" si="5"/>
        <v>-374265.46</v>
      </c>
      <c r="I154" s="8" t="s">
        <v>189</v>
      </c>
    </row>
    <row r="155" spans="2:9" x14ac:dyDescent="0.3">
      <c r="B155" s="8" t="s">
        <v>210</v>
      </c>
      <c r="C155" s="8" t="s">
        <v>211</v>
      </c>
      <c r="D155" s="12">
        <v>0</v>
      </c>
      <c r="E155" s="12">
        <v>1975</v>
      </c>
      <c r="F155" s="12">
        <v>1974.55</v>
      </c>
      <c r="G155" s="12">
        <f t="shared" si="4"/>
        <v>0.45000000000004547</v>
      </c>
      <c r="H155" s="12">
        <f t="shared" si="5"/>
        <v>0.45000000000004547</v>
      </c>
      <c r="I155" s="8" t="s">
        <v>189</v>
      </c>
    </row>
    <row r="156" spans="2:9" x14ac:dyDescent="0.3">
      <c r="B156" s="8" t="s">
        <v>626</v>
      </c>
      <c r="C156" s="8" t="s">
        <v>627</v>
      </c>
      <c r="D156" s="12">
        <v>0</v>
      </c>
      <c r="E156" s="12">
        <v>0</v>
      </c>
      <c r="F156" s="12">
        <v>294973.39</v>
      </c>
      <c r="G156" s="12">
        <f t="shared" si="4"/>
        <v>-294973.39</v>
      </c>
      <c r="H156" s="12">
        <f t="shared" si="5"/>
        <v>-294973.39</v>
      </c>
      <c r="I156" s="8" t="s">
        <v>189</v>
      </c>
    </row>
    <row r="157" spans="2:9" x14ac:dyDescent="0.3">
      <c r="B157" s="8" t="s">
        <v>212</v>
      </c>
      <c r="C157" s="8" t="s">
        <v>213</v>
      </c>
      <c r="D157" s="12">
        <v>-254055.93</v>
      </c>
      <c r="E157" s="12">
        <v>0</v>
      </c>
      <c r="F157" s="12">
        <v>0</v>
      </c>
      <c r="G157" s="12">
        <f t="shared" si="4"/>
        <v>0</v>
      </c>
      <c r="H157" s="12">
        <f t="shared" si="5"/>
        <v>-254055.93</v>
      </c>
      <c r="I157" s="8" t="s">
        <v>189</v>
      </c>
    </row>
    <row r="158" spans="2:9" x14ac:dyDescent="0.3">
      <c r="B158" s="8" t="s">
        <v>214</v>
      </c>
      <c r="C158" s="8" t="s">
        <v>215</v>
      </c>
      <c r="D158" s="12">
        <v>-199956.1</v>
      </c>
      <c r="E158" s="12">
        <v>0</v>
      </c>
      <c r="F158" s="12">
        <v>0</v>
      </c>
      <c r="G158" s="12">
        <f t="shared" si="4"/>
        <v>0</v>
      </c>
      <c r="H158" s="12">
        <f t="shared" si="5"/>
        <v>-199956.1</v>
      </c>
      <c r="I158" s="8" t="s">
        <v>189</v>
      </c>
    </row>
    <row r="159" spans="2:9" x14ac:dyDescent="0.3">
      <c r="B159" s="15" t="s">
        <v>216</v>
      </c>
      <c r="C159" s="15" t="s">
        <v>217</v>
      </c>
      <c r="D159" s="16"/>
      <c r="E159" s="16"/>
      <c r="F159" s="16"/>
      <c r="G159" s="16"/>
      <c r="H159" s="16"/>
      <c r="I159" s="15"/>
    </row>
    <row r="160" spans="2:9" x14ac:dyDescent="0.3">
      <c r="B160" s="8" t="s">
        <v>218</v>
      </c>
      <c r="C160" s="8" t="s">
        <v>219</v>
      </c>
      <c r="D160" s="12">
        <v>-77949.25</v>
      </c>
      <c r="E160" s="12">
        <v>92538.53</v>
      </c>
      <c r="F160" s="12">
        <v>150978.29</v>
      </c>
      <c r="G160" s="12">
        <f t="shared" si="4"/>
        <v>-58439.760000000009</v>
      </c>
      <c r="H160" s="12">
        <f t="shared" si="5"/>
        <v>-136389.01</v>
      </c>
      <c r="I160" s="8" t="s">
        <v>220</v>
      </c>
    </row>
    <row r="161" spans="2:9" x14ac:dyDescent="0.3">
      <c r="B161" s="8" t="s">
        <v>551</v>
      </c>
      <c r="C161" s="8" t="s">
        <v>552</v>
      </c>
      <c r="D161" s="12">
        <v>-5525.75</v>
      </c>
      <c r="E161" s="12">
        <v>0</v>
      </c>
      <c r="F161" s="12">
        <v>0</v>
      </c>
      <c r="G161" s="12">
        <f t="shared" si="4"/>
        <v>0</v>
      </c>
      <c r="H161" s="12">
        <f t="shared" si="5"/>
        <v>-5525.75</v>
      </c>
      <c r="I161" s="8" t="s">
        <v>220</v>
      </c>
    </row>
    <row r="162" spans="2:9" x14ac:dyDescent="0.3">
      <c r="B162" s="8" t="s">
        <v>628</v>
      </c>
      <c r="C162" s="8" t="s">
        <v>629</v>
      </c>
      <c r="D162" s="12">
        <v>0</v>
      </c>
      <c r="E162" s="12">
        <v>20000</v>
      </c>
      <c r="F162" s="12">
        <v>20000</v>
      </c>
      <c r="G162" s="12">
        <f t="shared" si="4"/>
        <v>0</v>
      </c>
      <c r="H162" s="12">
        <f t="shared" si="5"/>
        <v>0</v>
      </c>
      <c r="I162" s="8" t="s">
        <v>220</v>
      </c>
    </row>
    <row r="163" spans="2:9" x14ac:dyDescent="0.3">
      <c r="B163" s="8" t="s">
        <v>553</v>
      </c>
      <c r="C163" s="8" t="s">
        <v>554</v>
      </c>
      <c r="D163" s="12">
        <v>-24857.94</v>
      </c>
      <c r="E163" s="12">
        <v>0</v>
      </c>
      <c r="F163" s="12">
        <v>0</v>
      </c>
      <c r="G163" s="12">
        <f t="shared" si="4"/>
        <v>0</v>
      </c>
      <c r="H163" s="12">
        <f t="shared" si="5"/>
        <v>-24857.94</v>
      </c>
      <c r="I163" s="8" t="s">
        <v>220</v>
      </c>
    </row>
    <row r="164" spans="2:9" x14ac:dyDescent="0.3">
      <c r="B164" s="15" t="s">
        <v>221</v>
      </c>
      <c r="C164" s="15" t="s">
        <v>222</v>
      </c>
      <c r="D164" s="16"/>
      <c r="E164" s="16"/>
      <c r="F164" s="16"/>
      <c r="G164" s="16"/>
      <c r="H164" s="16"/>
      <c r="I164" s="15"/>
    </row>
    <row r="165" spans="2:9" x14ac:dyDescent="0.3">
      <c r="B165" s="8" t="s">
        <v>223</v>
      </c>
      <c r="C165" s="8" t="s">
        <v>224</v>
      </c>
      <c r="D165" s="12">
        <v>-12872.64</v>
      </c>
      <c r="E165" s="12">
        <v>12872.64</v>
      </c>
      <c r="F165" s="12">
        <v>0</v>
      </c>
      <c r="G165" s="12">
        <f t="shared" si="4"/>
        <v>12872.64</v>
      </c>
      <c r="H165" s="12">
        <f t="shared" si="5"/>
        <v>0</v>
      </c>
      <c r="I165" s="8" t="s">
        <v>225</v>
      </c>
    </row>
    <row r="166" spans="2:9" x14ac:dyDescent="0.3">
      <c r="B166" s="8" t="s">
        <v>555</v>
      </c>
      <c r="C166" s="8" t="s">
        <v>556</v>
      </c>
      <c r="D166" s="12">
        <v>500000</v>
      </c>
      <c r="E166" s="12">
        <v>0</v>
      </c>
      <c r="F166" s="12">
        <v>0</v>
      </c>
      <c r="G166" s="12">
        <f t="shared" si="4"/>
        <v>0</v>
      </c>
      <c r="H166" s="12">
        <f t="shared" si="5"/>
        <v>500000</v>
      </c>
      <c r="I166" s="8" t="s">
        <v>225</v>
      </c>
    </row>
    <row r="167" spans="2:9" x14ac:dyDescent="0.3">
      <c r="B167" s="8" t="s">
        <v>630</v>
      </c>
      <c r="C167" s="8" t="s">
        <v>631</v>
      </c>
      <c r="D167" s="12">
        <v>0</v>
      </c>
      <c r="E167" s="12">
        <v>70604.47</v>
      </c>
      <c r="F167" s="12">
        <v>76705</v>
      </c>
      <c r="G167" s="12">
        <f t="shared" si="4"/>
        <v>-6100.5299999999988</v>
      </c>
      <c r="H167" s="12">
        <f t="shared" si="5"/>
        <v>-6100.5299999999988</v>
      </c>
      <c r="I167" s="8" t="s">
        <v>225</v>
      </c>
    </row>
    <row r="168" spans="2:9" x14ac:dyDescent="0.3">
      <c r="B168" s="15" t="s">
        <v>226</v>
      </c>
      <c r="C168" s="15" t="s">
        <v>227</v>
      </c>
      <c r="D168" s="16"/>
      <c r="E168" s="16"/>
      <c r="F168" s="16"/>
      <c r="G168" s="16"/>
      <c r="H168" s="16"/>
      <c r="I168" s="15"/>
    </row>
    <row r="169" spans="2:9" x14ac:dyDescent="0.3">
      <c r="B169" s="8" t="s">
        <v>228</v>
      </c>
      <c r="C169" s="8" t="s">
        <v>229</v>
      </c>
      <c r="D169" s="12">
        <v>-186025.46</v>
      </c>
      <c r="E169" s="12">
        <v>0</v>
      </c>
      <c r="F169" s="12">
        <v>0</v>
      </c>
      <c r="G169" s="12">
        <f t="shared" si="4"/>
        <v>0</v>
      </c>
      <c r="H169" s="12">
        <f t="shared" si="5"/>
        <v>-186025.46</v>
      </c>
      <c r="I169" s="8" t="s">
        <v>230</v>
      </c>
    </row>
    <row r="170" spans="2:9" x14ac:dyDescent="0.3">
      <c r="B170" s="8" t="s">
        <v>231</v>
      </c>
      <c r="C170" s="8" t="s">
        <v>232</v>
      </c>
      <c r="D170" s="12">
        <v>460352.65</v>
      </c>
      <c r="E170" s="12">
        <v>14093.12</v>
      </c>
      <c r="F170" s="12">
        <v>0</v>
      </c>
      <c r="G170" s="12">
        <f t="shared" si="4"/>
        <v>14093.12</v>
      </c>
      <c r="H170" s="12">
        <f t="shared" si="5"/>
        <v>474445.77</v>
      </c>
      <c r="I170" s="8" t="s">
        <v>230</v>
      </c>
    </row>
    <row r="171" spans="2:9" x14ac:dyDescent="0.3">
      <c r="B171" s="8" t="s">
        <v>632</v>
      </c>
      <c r="C171" s="8" t="s">
        <v>633</v>
      </c>
      <c r="D171" s="12">
        <v>0</v>
      </c>
      <c r="E171" s="12">
        <v>250000</v>
      </c>
      <c r="F171" s="12">
        <v>0</v>
      </c>
      <c r="G171" s="12">
        <f t="shared" si="4"/>
        <v>250000</v>
      </c>
      <c r="H171" s="12">
        <f t="shared" si="5"/>
        <v>250000</v>
      </c>
      <c r="I171" s="8" t="s">
        <v>230</v>
      </c>
    </row>
    <row r="172" spans="2:9" x14ac:dyDescent="0.3">
      <c r="B172" s="8" t="s">
        <v>557</v>
      </c>
      <c r="C172" s="8" t="s">
        <v>558</v>
      </c>
      <c r="D172" s="12">
        <v>-328971.28000000003</v>
      </c>
      <c r="E172" s="12">
        <v>37562.76</v>
      </c>
      <c r="F172" s="12">
        <v>2325</v>
      </c>
      <c r="G172" s="12">
        <f t="shared" si="4"/>
        <v>35237.760000000002</v>
      </c>
      <c r="H172" s="12">
        <f t="shared" si="5"/>
        <v>-293733.52</v>
      </c>
      <c r="I172" s="8" t="s">
        <v>230</v>
      </c>
    </row>
    <row r="173" spans="2:9" x14ac:dyDescent="0.3">
      <c r="B173" s="8" t="s">
        <v>233</v>
      </c>
      <c r="C173" s="8" t="s">
        <v>234</v>
      </c>
      <c r="D173" s="12">
        <v>10092.91</v>
      </c>
      <c r="E173" s="12">
        <v>6145.6</v>
      </c>
      <c r="F173" s="12">
        <v>0</v>
      </c>
      <c r="G173" s="12">
        <f t="shared" si="4"/>
        <v>6145.6</v>
      </c>
      <c r="H173" s="12">
        <f t="shared" si="5"/>
        <v>16238.51</v>
      </c>
      <c r="I173" s="8" t="s">
        <v>230</v>
      </c>
    </row>
    <row r="174" spans="2:9" x14ac:dyDescent="0.3">
      <c r="B174" s="8" t="s">
        <v>235</v>
      </c>
      <c r="C174" s="8" t="s">
        <v>236</v>
      </c>
      <c r="D174" s="12">
        <v>529075.4</v>
      </c>
      <c r="E174" s="12">
        <v>980664.26</v>
      </c>
      <c r="F174" s="12">
        <v>421456.96</v>
      </c>
      <c r="G174" s="12">
        <f t="shared" si="4"/>
        <v>559207.30000000005</v>
      </c>
      <c r="H174" s="12">
        <f t="shared" si="5"/>
        <v>1088282.7000000002</v>
      </c>
      <c r="I174" s="8" t="s">
        <v>230</v>
      </c>
    </row>
    <row r="175" spans="2:9" x14ac:dyDescent="0.3">
      <c r="B175" s="8" t="s">
        <v>237</v>
      </c>
      <c r="C175" s="8" t="s">
        <v>238</v>
      </c>
      <c r="D175" s="12">
        <v>-497649.85</v>
      </c>
      <c r="E175" s="12">
        <v>0</v>
      </c>
      <c r="F175" s="12">
        <v>5462.5</v>
      </c>
      <c r="G175" s="12">
        <f t="shared" si="4"/>
        <v>-5462.5</v>
      </c>
      <c r="H175" s="12">
        <f t="shared" si="5"/>
        <v>-503112.35</v>
      </c>
      <c r="I175" s="8" t="s">
        <v>230</v>
      </c>
    </row>
    <row r="176" spans="2:9" x14ac:dyDescent="0.3">
      <c r="B176" s="15" t="s">
        <v>559</v>
      </c>
      <c r="C176" s="15" t="s">
        <v>560</v>
      </c>
      <c r="D176" s="16"/>
      <c r="E176" s="16"/>
      <c r="F176" s="16"/>
      <c r="G176" s="16"/>
      <c r="H176" s="16"/>
      <c r="I176" s="15"/>
    </row>
    <row r="177" spans="2:9" x14ac:dyDescent="0.3">
      <c r="B177" s="8" t="s">
        <v>561</v>
      </c>
      <c r="C177" s="8" t="s">
        <v>562</v>
      </c>
      <c r="D177" s="12">
        <v>-96200</v>
      </c>
      <c r="E177" s="12">
        <v>0</v>
      </c>
      <c r="F177" s="12">
        <v>0</v>
      </c>
      <c r="G177" s="12">
        <f t="shared" si="4"/>
        <v>0</v>
      </c>
      <c r="H177" s="12">
        <f t="shared" si="5"/>
        <v>-96200</v>
      </c>
      <c r="I177" s="8" t="s">
        <v>563</v>
      </c>
    </row>
    <row r="178" spans="2:9" x14ac:dyDescent="0.3">
      <c r="B178" s="15" t="s">
        <v>239</v>
      </c>
      <c r="C178" s="15" t="s">
        <v>240</v>
      </c>
      <c r="D178" s="16"/>
      <c r="E178" s="16"/>
      <c r="F178" s="16"/>
      <c r="G178" s="16"/>
      <c r="H178" s="16"/>
      <c r="I178" s="15"/>
    </row>
    <row r="179" spans="2:9" x14ac:dyDescent="0.3">
      <c r="B179" s="8" t="s">
        <v>564</v>
      </c>
      <c r="C179" s="8" t="s">
        <v>565</v>
      </c>
      <c r="D179" s="12">
        <v>-71927.320000000007</v>
      </c>
      <c r="E179" s="12">
        <v>2000</v>
      </c>
      <c r="F179" s="12">
        <v>4775</v>
      </c>
      <c r="G179" s="12">
        <f t="shared" si="4"/>
        <v>-2775</v>
      </c>
      <c r="H179" s="12">
        <f t="shared" si="5"/>
        <v>-74702.320000000007</v>
      </c>
      <c r="I179" s="8" t="s">
        <v>243</v>
      </c>
    </row>
    <row r="180" spans="2:9" x14ac:dyDescent="0.3">
      <c r="B180" s="8" t="s">
        <v>241</v>
      </c>
      <c r="C180" s="8" t="s">
        <v>242</v>
      </c>
      <c r="D180" s="12">
        <v>-66849.42</v>
      </c>
      <c r="E180" s="12">
        <v>4538</v>
      </c>
      <c r="F180" s="12">
        <v>5861</v>
      </c>
      <c r="G180" s="12">
        <f t="shared" si="4"/>
        <v>-1323</v>
      </c>
      <c r="H180" s="12">
        <f t="shared" si="5"/>
        <v>-68172.42</v>
      </c>
      <c r="I180" s="8" t="s">
        <v>243</v>
      </c>
    </row>
    <row r="181" spans="2:9" x14ac:dyDescent="0.3">
      <c r="B181" s="15" t="s">
        <v>244</v>
      </c>
      <c r="C181" s="15" t="s">
        <v>245</v>
      </c>
      <c r="D181" s="16"/>
      <c r="E181" s="16"/>
      <c r="F181" s="16"/>
      <c r="G181" s="16"/>
      <c r="H181" s="16"/>
      <c r="I181" s="15"/>
    </row>
    <row r="182" spans="2:9" x14ac:dyDescent="0.3">
      <c r="B182" s="8" t="s">
        <v>246</v>
      </c>
      <c r="C182" s="8" t="s">
        <v>247</v>
      </c>
      <c r="D182" s="12">
        <v>-330785.90000000002</v>
      </c>
      <c r="E182" s="12">
        <v>0</v>
      </c>
      <c r="F182" s="12">
        <v>6956</v>
      </c>
      <c r="G182" s="12">
        <f t="shared" si="4"/>
        <v>-6956</v>
      </c>
      <c r="H182" s="12">
        <f t="shared" si="5"/>
        <v>-337741.9</v>
      </c>
      <c r="I182" s="8" t="s">
        <v>248</v>
      </c>
    </row>
    <row r="183" spans="2:9" x14ac:dyDescent="0.3">
      <c r="B183" s="15" t="s">
        <v>249</v>
      </c>
      <c r="C183" s="15" t="s">
        <v>250</v>
      </c>
      <c r="D183" s="16"/>
      <c r="E183" s="16"/>
      <c r="F183" s="16"/>
      <c r="G183" s="16"/>
      <c r="H183" s="16"/>
      <c r="I183" s="15"/>
    </row>
    <row r="184" spans="2:9" x14ac:dyDescent="0.3">
      <c r="B184" s="8" t="s">
        <v>251</v>
      </c>
      <c r="C184" s="8" t="s">
        <v>252</v>
      </c>
      <c r="D184" s="12">
        <v>-137642.63</v>
      </c>
      <c r="E184" s="12">
        <v>783.48</v>
      </c>
      <c r="F184" s="12">
        <v>0</v>
      </c>
      <c r="G184" s="12">
        <f t="shared" si="4"/>
        <v>783.48</v>
      </c>
      <c r="H184" s="12">
        <f t="shared" si="5"/>
        <v>-136859.15</v>
      </c>
      <c r="I184" s="8" t="s">
        <v>253</v>
      </c>
    </row>
    <row r="185" spans="2:9" x14ac:dyDescent="0.3">
      <c r="B185" s="8" t="s">
        <v>254</v>
      </c>
      <c r="C185" s="8" t="s">
        <v>255</v>
      </c>
      <c r="D185" s="12">
        <v>-29823.07</v>
      </c>
      <c r="E185" s="12">
        <v>0</v>
      </c>
      <c r="F185" s="12">
        <v>0</v>
      </c>
      <c r="G185" s="12">
        <f t="shared" si="4"/>
        <v>0</v>
      </c>
      <c r="H185" s="12">
        <f t="shared" si="5"/>
        <v>-29823.07</v>
      </c>
      <c r="I185" s="8" t="s">
        <v>253</v>
      </c>
    </row>
    <row r="186" spans="2:9" x14ac:dyDescent="0.3">
      <c r="B186" s="15" t="s">
        <v>256</v>
      </c>
      <c r="C186" s="15" t="s">
        <v>257</v>
      </c>
      <c r="D186" s="16"/>
      <c r="E186" s="16"/>
      <c r="F186" s="16"/>
      <c r="G186" s="16"/>
      <c r="H186" s="16"/>
      <c r="I186" s="15"/>
    </row>
    <row r="187" spans="2:9" x14ac:dyDescent="0.3">
      <c r="B187" s="8" t="s">
        <v>258</v>
      </c>
      <c r="C187" s="8" t="s">
        <v>259</v>
      </c>
      <c r="D187" s="12">
        <v>-2374871.75</v>
      </c>
      <c r="E187" s="12">
        <v>1339</v>
      </c>
      <c r="F187" s="12">
        <v>1052960.8</v>
      </c>
      <c r="G187" s="12">
        <f t="shared" si="4"/>
        <v>-1051621.8</v>
      </c>
      <c r="H187" s="12">
        <f t="shared" si="5"/>
        <v>-3426493.55</v>
      </c>
      <c r="I187" s="8" t="s">
        <v>260</v>
      </c>
    </row>
    <row r="188" spans="2:9" x14ac:dyDescent="0.3">
      <c r="B188" s="8" t="s">
        <v>261</v>
      </c>
      <c r="C188" s="8" t="s">
        <v>262</v>
      </c>
      <c r="D188" s="12">
        <v>-461593.52</v>
      </c>
      <c r="E188" s="12">
        <v>0</v>
      </c>
      <c r="F188" s="12">
        <v>272055.03999999998</v>
      </c>
      <c r="G188" s="12">
        <f t="shared" si="4"/>
        <v>-272055.03999999998</v>
      </c>
      <c r="H188" s="12">
        <f t="shared" si="5"/>
        <v>-733648.56</v>
      </c>
      <c r="I188" s="8" t="s">
        <v>260</v>
      </c>
    </row>
    <row r="189" spans="2:9" x14ac:dyDescent="0.3">
      <c r="B189" s="15" t="s">
        <v>263</v>
      </c>
      <c r="C189" s="15" t="s">
        <v>264</v>
      </c>
      <c r="D189" s="16"/>
      <c r="E189" s="16"/>
      <c r="F189" s="16"/>
      <c r="G189" s="16"/>
      <c r="H189" s="16"/>
      <c r="I189" s="15"/>
    </row>
    <row r="190" spans="2:9" x14ac:dyDescent="0.3">
      <c r="B190" s="8" t="s">
        <v>566</v>
      </c>
      <c r="C190" s="8" t="s">
        <v>567</v>
      </c>
      <c r="D190" s="12">
        <v>2249</v>
      </c>
      <c r="E190" s="12">
        <v>0</v>
      </c>
      <c r="F190" s="12">
        <v>0</v>
      </c>
      <c r="G190" s="12">
        <f t="shared" si="4"/>
        <v>0</v>
      </c>
      <c r="H190" s="12">
        <f t="shared" si="5"/>
        <v>2249</v>
      </c>
      <c r="I190" s="8" t="s">
        <v>267</v>
      </c>
    </row>
    <row r="191" spans="2:9" x14ac:dyDescent="0.3">
      <c r="B191" s="8" t="s">
        <v>568</v>
      </c>
      <c r="C191" s="8" t="s">
        <v>569</v>
      </c>
      <c r="D191" s="12">
        <v>50</v>
      </c>
      <c r="E191" s="12">
        <v>0</v>
      </c>
      <c r="F191" s="12">
        <v>0</v>
      </c>
      <c r="G191" s="12">
        <f t="shared" si="4"/>
        <v>0</v>
      </c>
      <c r="H191" s="12">
        <f t="shared" si="5"/>
        <v>50</v>
      </c>
      <c r="I191" s="8" t="s">
        <v>267</v>
      </c>
    </row>
    <row r="192" spans="2:9" x14ac:dyDescent="0.3">
      <c r="B192" s="8" t="s">
        <v>265</v>
      </c>
      <c r="C192" s="8" t="s">
        <v>266</v>
      </c>
      <c r="D192" s="12">
        <v>8777</v>
      </c>
      <c r="E192" s="12">
        <v>0</v>
      </c>
      <c r="F192" s="12">
        <v>0</v>
      </c>
      <c r="G192" s="12">
        <f t="shared" si="4"/>
        <v>0</v>
      </c>
      <c r="H192" s="12">
        <f t="shared" si="5"/>
        <v>8777</v>
      </c>
      <c r="I192" s="8" t="s">
        <v>267</v>
      </c>
    </row>
    <row r="193" spans="2:9" x14ac:dyDescent="0.3">
      <c r="B193" s="8" t="s">
        <v>268</v>
      </c>
      <c r="C193" s="8" t="s">
        <v>269</v>
      </c>
      <c r="D193" s="12">
        <v>29588</v>
      </c>
      <c r="E193" s="12">
        <v>34514</v>
      </c>
      <c r="F193" s="12">
        <v>0</v>
      </c>
      <c r="G193" s="12">
        <f t="shared" si="4"/>
        <v>34514</v>
      </c>
      <c r="H193" s="12">
        <f t="shared" si="5"/>
        <v>64102</v>
      </c>
      <c r="I193" s="8" t="s">
        <v>267</v>
      </c>
    </row>
    <row r="194" spans="2:9" x14ac:dyDescent="0.3">
      <c r="B194" s="8" t="s">
        <v>634</v>
      </c>
      <c r="C194" s="8" t="s">
        <v>635</v>
      </c>
      <c r="D194" s="12">
        <v>0</v>
      </c>
      <c r="E194" s="12">
        <v>3717.54</v>
      </c>
      <c r="F194" s="12">
        <v>1900</v>
      </c>
      <c r="G194" s="12">
        <f t="shared" si="4"/>
        <v>1817.54</v>
      </c>
      <c r="H194" s="12">
        <f t="shared" si="5"/>
        <v>1817.54</v>
      </c>
      <c r="I194" s="8" t="s">
        <v>267</v>
      </c>
    </row>
    <row r="195" spans="2:9" x14ac:dyDescent="0.3">
      <c r="B195" s="8" t="s">
        <v>270</v>
      </c>
      <c r="C195" s="8" t="s">
        <v>271</v>
      </c>
      <c r="D195" s="12">
        <v>1843376.42</v>
      </c>
      <c r="E195" s="12">
        <v>648610.1</v>
      </c>
      <c r="F195" s="12">
        <v>1259.69</v>
      </c>
      <c r="G195" s="12">
        <f t="shared" si="4"/>
        <v>647350.41</v>
      </c>
      <c r="H195" s="12">
        <f t="shared" si="5"/>
        <v>2490726.83</v>
      </c>
      <c r="I195" s="8" t="s">
        <v>267</v>
      </c>
    </row>
    <row r="196" spans="2:9" x14ac:dyDescent="0.3">
      <c r="B196" s="8" t="s">
        <v>272</v>
      </c>
      <c r="C196" s="8" t="s">
        <v>273</v>
      </c>
      <c r="D196" s="12">
        <v>11414.51</v>
      </c>
      <c r="E196" s="12">
        <v>20231.5</v>
      </c>
      <c r="F196" s="12">
        <v>13682.68</v>
      </c>
      <c r="G196" s="12">
        <f t="shared" si="4"/>
        <v>6548.82</v>
      </c>
      <c r="H196" s="12">
        <f t="shared" si="5"/>
        <v>17963.330000000002</v>
      </c>
      <c r="I196" s="8" t="s">
        <v>267</v>
      </c>
    </row>
    <row r="197" spans="2:9" x14ac:dyDescent="0.3">
      <c r="B197" s="8" t="s">
        <v>274</v>
      </c>
      <c r="C197" s="8" t="s">
        <v>275</v>
      </c>
      <c r="D197" s="12">
        <v>-156292.15</v>
      </c>
      <c r="E197" s="12">
        <v>0</v>
      </c>
      <c r="F197" s="12">
        <v>0</v>
      </c>
      <c r="G197" s="12">
        <f t="shared" si="4"/>
        <v>0</v>
      </c>
      <c r="H197" s="12">
        <f t="shared" si="5"/>
        <v>-156292.15</v>
      </c>
      <c r="I197" s="8" t="s">
        <v>267</v>
      </c>
    </row>
    <row r="198" spans="2:9" x14ac:dyDescent="0.3">
      <c r="B198" s="15" t="s">
        <v>276</v>
      </c>
      <c r="C198" s="15" t="s">
        <v>277</v>
      </c>
      <c r="D198" s="16"/>
      <c r="E198" s="16"/>
      <c r="F198" s="16"/>
      <c r="G198" s="16"/>
      <c r="H198" s="16"/>
      <c r="I198" s="15"/>
    </row>
    <row r="199" spans="2:9" x14ac:dyDescent="0.3">
      <c r="B199" s="8" t="s">
        <v>278</v>
      </c>
      <c r="C199" s="8" t="s">
        <v>279</v>
      </c>
      <c r="D199" s="12">
        <v>267251</v>
      </c>
      <c r="E199" s="12">
        <v>153092</v>
      </c>
      <c r="F199" s="12">
        <v>0</v>
      </c>
      <c r="G199" s="12">
        <f t="shared" si="4"/>
        <v>153092</v>
      </c>
      <c r="H199" s="12">
        <f t="shared" si="5"/>
        <v>420343</v>
      </c>
      <c r="I199" s="8" t="s">
        <v>280</v>
      </c>
    </row>
    <row r="200" spans="2:9" x14ac:dyDescent="0.3">
      <c r="B200" s="8" t="s">
        <v>281</v>
      </c>
      <c r="C200" s="8" t="s">
        <v>282</v>
      </c>
      <c r="D200" s="12">
        <v>21444</v>
      </c>
      <c r="E200" s="12">
        <v>14057</v>
      </c>
      <c r="F200" s="12">
        <v>0</v>
      </c>
      <c r="G200" s="12">
        <f t="shared" si="4"/>
        <v>14057</v>
      </c>
      <c r="H200" s="12">
        <f t="shared" si="5"/>
        <v>35501</v>
      </c>
      <c r="I200" s="8" t="s">
        <v>280</v>
      </c>
    </row>
    <row r="201" spans="2:9" x14ac:dyDescent="0.3">
      <c r="B201" s="8" t="s">
        <v>283</v>
      </c>
      <c r="C201" s="8" t="s">
        <v>284</v>
      </c>
      <c r="D201" s="12">
        <v>32675.16</v>
      </c>
      <c r="E201" s="12">
        <v>16799.080000000002</v>
      </c>
      <c r="F201" s="12">
        <v>732</v>
      </c>
      <c r="G201" s="12">
        <f t="shared" ref="G201:G264" si="6">E201-F201</f>
        <v>16067.080000000002</v>
      </c>
      <c r="H201" s="12">
        <f t="shared" ref="H201:H264" si="7">D201+G201</f>
        <v>48742.240000000005</v>
      </c>
      <c r="I201" s="8" t="s">
        <v>280</v>
      </c>
    </row>
    <row r="202" spans="2:9" x14ac:dyDescent="0.3">
      <c r="B202" s="8" t="s">
        <v>570</v>
      </c>
      <c r="C202" s="8" t="s">
        <v>571</v>
      </c>
      <c r="D202" s="12">
        <v>16</v>
      </c>
      <c r="E202" s="12">
        <v>0</v>
      </c>
      <c r="F202" s="12">
        <v>0</v>
      </c>
      <c r="G202" s="12">
        <f t="shared" si="6"/>
        <v>0</v>
      </c>
      <c r="H202" s="12">
        <f t="shared" si="7"/>
        <v>16</v>
      </c>
      <c r="I202" s="8" t="s">
        <v>280</v>
      </c>
    </row>
    <row r="203" spans="2:9" x14ac:dyDescent="0.3">
      <c r="B203" s="8" t="s">
        <v>285</v>
      </c>
      <c r="C203" s="8" t="s">
        <v>286</v>
      </c>
      <c r="D203" s="12">
        <v>12426.58</v>
      </c>
      <c r="E203" s="12">
        <v>4775</v>
      </c>
      <c r="F203" s="12">
        <v>0</v>
      </c>
      <c r="G203" s="12">
        <f t="shared" si="6"/>
        <v>4775</v>
      </c>
      <c r="H203" s="12">
        <f t="shared" si="7"/>
        <v>17201.580000000002</v>
      </c>
      <c r="I203" s="8" t="s">
        <v>280</v>
      </c>
    </row>
    <row r="204" spans="2:9" x14ac:dyDescent="0.3">
      <c r="B204" s="8" t="s">
        <v>287</v>
      </c>
      <c r="C204" s="8" t="s">
        <v>288</v>
      </c>
      <c r="D204" s="12">
        <v>11082.5</v>
      </c>
      <c r="E204" s="12">
        <v>5861</v>
      </c>
      <c r="F204" s="12">
        <v>0</v>
      </c>
      <c r="G204" s="12">
        <f t="shared" si="6"/>
        <v>5861</v>
      </c>
      <c r="H204" s="12">
        <f t="shared" si="7"/>
        <v>16943.5</v>
      </c>
      <c r="I204" s="8" t="s">
        <v>280</v>
      </c>
    </row>
    <row r="205" spans="2:9" x14ac:dyDescent="0.3">
      <c r="B205" s="8" t="s">
        <v>289</v>
      </c>
      <c r="C205" s="8" t="s">
        <v>290</v>
      </c>
      <c r="D205" s="12">
        <v>14903</v>
      </c>
      <c r="E205" s="12">
        <v>6956</v>
      </c>
      <c r="F205" s="12">
        <v>0</v>
      </c>
      <c r="G205" s="12">
        <f t="shared" si="6"/>
        <v>6956</v>
      </c>
      <c r="H205" s="12">
        <f t="shared" si="7"/>
        <v>21859</v>
      </c>
      <c r="I205" s="8" t="s">
        <v>280</v>
      </c>
    </row>
    <row r="206" spans="2:9" x14ac:dyDescent="0.3">
      <c r="B206" s="8" t="s">
        <v>636</v>
      </c>
      <c r="C206" s="8" t="s">
        <v>637</v>
      </c>
      <c r="D206" s="12">
        <v>0</v>
      </c>
      <c r="E206" s="12">
        <v>3256.25</v>
      </c>
      <c r="F206" s="12">
        <v>0</v>
      </c>
      <c r="G206" s="12">
        <f t="shared" si="6"/>
        <v>3256.25</v>
      </c>
      <c r="H206" s="12">
        <f t="shared" si="7"/>
        <v>3256.25</v>
      </c>
      <c r="I206" s="8" t="s">
        <v>280</v>
      </c>
    </row>
    <row r="207" spans="2:9" x14ac:dyDescent="0.3">
      <c r="B207" s="8" t="s">
        <v>291</v>
      </c>
      <c r="C207" s="8" t="s">
        <v>292</v>
      </c>
      <c r="D207" s="12">
        <v>1672.74</v>
      </c>
      <c r="E207" s="12">
        <v>0</v>
      </c>
      <c r="F207" s="12">
        <v>0</v>
      </c>
      <c r="G207" s="12">
        <f t="shared" si="6"/>
        <v>0</v>
      </c>
      <c r="H207" s="12">
        <f t="shared" si="7"/>
        <v>1672.74</v>
      </c>
      <c r="I207" s="8" t="s">
        <v>280</v>
      </c>
    </row>
    <row r="208" spans="2:9" x14ac:dyDescent="0.3">
      <c r="B208" s="8" t="s">
        <v>293</v>
      </c>
      <c r="C208" s="8" t="s">
        <v>294</v>
      </c>
      <c r="D208" s="12">
        <v>41787</v>
      </c>
      <c r="E208" s="12">
        <v>17777.78</v>
      </c>
      <c r="F208" s="12">
        <v>0</v>
      </c>
      <c r="G208" s="12">
        <f t="shared" si="6"/>
        <v>17777.78</v>
      </c>
      <c r="H208" s="12">
        <f t="shared" si="7"/>
        <v>59564.78</v>
      </c>
      <c r="I208" s="8" t="s">
        <v>280</v>
      </c>
    </row>
    <row r="209" spans="2:9" x14ac:dyDescent="0.3">
      <c r="B209" s="8" t="s">
        <v>295</v>
      </c>
      <c r="C209" s="8" t="s">
        <v>296</v>
      </c>
      <c r="D209" s="12">
        <v>9325</v>
      </c>
      <c r="E209" s="12">
        <v>1100</v>
      </c>
      <c r="F209" s="12">
        <v>0</v>
      </c>
      <c r="G209" s="12">
        <f t="shared" si="6"/>
        <v>1100</v>
      </c>
      <c r="H209" s="12">
        <f t="shared" si="7"/>
        <v>10425</v>
      </c>
      <c r="I209" s="8" t="s">
        <v>280</v>
      </c>
    </row>
    <row r="210" spans="2:9" x14ac:dyDescent="0.3">
      <c r="B210" s="8" t="s">
        <v>297</v>
      </c>
      <c r="C210" s="8" t="s">
        <v>298</v>
      </c>
      <c r="D210" s="12">
        <v>1300</v>
      </c>
      <c r="E210" s="12">
        <v>0</v>
      </c>
      <c r="F210" s="12">
        <v>0</v>
      </c>
      <c r="G210" s="12">
        <f t="shared" si="6"/>
        <v>0</v>
      </c>
      <c r="H210" s="12">
        <f t="shared" si="7"/>
        <v>1300</v>
      </c>
      <c r="I210" s="8" t="s">
        <v>280</v>
      </c>
    </row>
    <row r="211" spans="2:9" x14ac:dyDescent="0.3">
      <c r="B211" s="8" t="s">
        <v>299</v>
      </c>
      <c r="C211" s="8" t="s">
        <v>300</v>
      </c>
      <c r="D211" s="12">
        <v>19515</v>
      </c>
      <c r="E211" s="12">
        <v>7150</v>
      </c>
      <c r="F211" s="12">
        <v>0</v>
      </c>
      <c r="G211" s="12">
        <f t="shared" si="6"/>
        <v>7150</v>
      </c>
      <c r="H211" s="12">
        <f t="shared" si="7"/>
        <v>26665</v>
      </c>
      <c r="I211" s="8" t="s">
        <v>280</v>
      </c>
    </row>
    <row r="212" spans="2:9" x14ac:dyDescent="0.3">
      <c r="B212" s="15" t="s">
        <v>301</v>
      </c>
      <c r="C212" s="15" t="s">
        <v>302</v>
      </c>
      <c r="D212" s="16"/>
      <c r="E212" s="16"/>
      <c r="F212" s="16"/>
      <c r="G212" s="16"/>
      <c r="H212" s="16"/>
      <c r="I212" s="15"/>
    </row>
    <row r="213" spans="2:9" x14ac:dyDescent="0.3">
      <c r="B213" s="8" t="s">
        <v>303</v>
      </c>
      <c r="C213" s="8" t="s">
        <v>304</v>
      </c>
      <c r="D213" s="12">
        <v>5892.6</v>
      </c>
      <c r="E213" s="12">
        <v>0</v>
      </c>
      <c r="F213" s="12">
        <v>0</v>
      </c>
      <c r="G213" s="12">
        <f t="shared" si="6"/>
        <v>0</v>
      </c>
      <c r="H213" s="12">
        <f t="shared" si="7"/>
        <v>5892.6</v>
      </c>
      <c r="I213" s="8" t="s">
        <v>305</v>
      </c>
    </row>
    <row r="214" spans="2:9" x14ac:dyDescent="0.3">
      <c r="B214" s="8" t="s">
        <v>306</v>
      </c>
      <c r="C214" s="8" t="s">
        <v>307</v>
      </c>
      <c r="D214" s="12">
        <v>25092</v>
      </c>
      <c r="E214" s="12">
        <v>12546</v>
      </c>
      <c r="F214" s="12">
        <v>0</v>
      </c>
      <c r="G214" s="12">
        <f t="shared" si="6"/>
        <v>12546</v>
      </c>
      <c r="H214" s="12">
        <f t="shared" si="7"/>
        <v>37638</v>
      </c>
      <c r="I214" s="8" t="s">
        <v>305</v>
      </c>
    </row>
    <row r="215" spans="2:9" x14ac:dyDescent="0.3">
      <c r="B215" s="8" t="s">
        <v>308</v>
      </c>
      <c r="C215" s="8" t="s">
        <v>309</v>
      </c>
      <c r="D215" s="12">
        <v>600</v>
      </c>
      <c r="E215" s="12">
        <v>0</v>
      </c>
      <c r="F215" s="12">
        <v>0</v>
      </c>
      <c r="G215" s="12">
        <f t="shared" si="6"/>
        <v>0</v>
      </c>
      <c r="H215" s="12">
        <f t="shared" si="7"/>
        <v>600</v>
      </c>
      <c r="I215" s="8" t="s">
        <v>305</v>
      </c>
    </row>
    <row r="216" spans="2:9" x14ac:dyDescent="0.3">
      <c r="B216" s="15" t="s">
        <v>310</v>
      </c>
      <c r="C216" s="15" t="s">
        <v>311</v>
      </c>
      <c r="D216" s="16"/>
      <c r="E216" s="16"/>
      <c r="F216" s="16"/>
      <c r="G216" s="16"/>
      <c r="H216" s="16"/>
      <c r="I216" s="15"/>
    </row>
    <row r="217" spans="2:9" x14ac:dyDescent="0.3">
      <c r="B217" s="8" t="s">
        <v>312</v>
      </c>
      <c r="C217" s="8" t="s">
        <v>313</v>
      </c>
      <c r="D217" s="12">
        <v>20975.73</v>
      </c>
      <c r="E217" s="12">
        <v>11021.64</v>
      </c>
      <c r="F217" s="12">
        <v>0</v>
      </c>
      <c r="G217" s="12">
        <f t="shared" si="6"/>
        <v>11021.64</v>
      </c>
      <c r="H217" s="12">
        <f t="shared" si="7"/>
        <v>31997.37</v>
      </c>
      <c r="I217" s="8" t="s">
        <v>314</v>
      </c>
    </row>
    <row r="218" spans="2:9" x14ac:dyDescent="0.3">
      <c r="B218" s="8" t="s">
        <v>315</v>
      </c>
      <c r="C218" s="8" t="s">
        <v>316</v>
      </c>
      <c r="D218" s="12">
        <v>160.91</v>
      </c>
      <c r="E218" s="12">
        <v>84.59</v>
      </c>
      <c r="F218" s="12">
        <v>0</v>
      </c>
      <c r="G218" s="12">
        <f t="shared" si="6"/>
        <v>84.59</v>
      </c>
      <c r="H218" s="12">
        <f t="shared" si="7"/>
        <v>245.5</v>
      </c>
      <c r="I218" s="8" t="s">
        <v>314</v>
      </c>
    </row>
    <row r="219" spans="2:9" x14ac:dyDescent="0.3">
      <c r="B219" s="8" t="s">
        <v>317</v>
      </c>
      <c r="C219" s="8" t="s">
        <v>318</v>
      </c>
      <c r="D219" s="12">
        <v>9003.25</v>
      </c>
      <c r="E219" s="12">
        <v>466.06</v>
      </c>
      <c r="F219" s="12">
        <v>0</v>
      </c>
      <c r="G219" s="12">
        <f t="shared" si="6"/>
        <v>466.06</v>
      </c>
      <c r="H219" s="12">
        <f t="shared" si="7"/>
        <v>9469.31</v>
      </c>
      <c r="I219" s="8" t="s">
        <v>314</v>
      </c>
    </row>
    <row r="220" spans="2:9" x14ac:dyDescent="0.3">
      <c r="B220" s="8" t="s">
        <v>319</v>
      </c>
      <c r="C220" s="8" t="s">
        <v>320</v>
      </c>
      <c r="D220" s="12">
        <v>903.91</v>
      </c>
      <c r="E220" s="12">
        <v>474.8</v>
      </c>
      <c r="F220" s="12">
        <v>0</v>
      </c>
      <c r="G220" s="12">
        <f t="shared" si="6"/>
        <v>474.8</v>
      </c>
      <c r="H220" s="12">
        <f t="shared" si="7"/>
        <v>1378.71</v>
      </c>
      <c r="I220" s="8" t="s">
        <v>314</v>
      </c>
    </row>
    <row r="221" spans="2:9" x14ac:dyDescent="0.3">
      <c r="B221" s="8" t="s">
        <v>321</v>
      </c>
      <c r="C221" s="8" t="s">
        <v>322</v>
      </c>
      <c r="D221" s="12">
        <v>200.51</v>
      </c>
      <c r="E221" s="12">
        <v>559.13</v>
      </c>
      <c r="F221" s="12">
        <v>0</v>
      </c>
      <c r="G221" s="12">
        <f t="shared" si="6"/>
        <v>559.13</v>
      </c>
      <c r="H221" s="12">
        <f t="shared" si="7"/>
        <v>759.64</v>
      </c>
      <c r="I221" s="8" t="s">
        <v>314</v>
      </c>
    </row>
    <row r="222" spans="2:9" x14ac:dyDescent="0.3">
      <c r="B222" s="8" t="s">
        <v>323</v>
      </c>
      <c r="C222" s="8" t="s">
        <v>324</v>
      </c>
      <c r="D222" s="12">
        <v>103.32</v>
      </c>
      <c r="E222" s="12">
        <v>55.05</v>
      </c>
      <c r="F222" s="12">
        <v>0</v>
      </c>
      <c r="G222" s="12">
        <f t="shared" si="6"/>
        <v>55.05</v>
      </c>
      <c r="H222" s="12">
        <f t="shared" si="7"/>
        <v>158.37</v>
      </c>
      <c r="I222" s="8" t="s">
        <v>314</v>
      </c>
    </row>
    <row r="223" spans="2:9" x14ac:dyDescent="0.3">
      <c r="B223" s="8" t="s">
        <v>325</v>
      </c>
      <c r="C223" s="8" t="s">
        <v>326</v>
      </c>
      <c r="D223" s="12">
        <v>1679.65</v>
      </c>
      <c r="E223" s="12">
        <v>883.21</v>
      </c>
      <c r="F223" s="12">
        <v>0</v>
      </c>
      <c r="G223" s="12">
        <f t="shared" si="6"/>
        <v>883.21</v>
      </c>
      <c r="H223" s="12">
        <f t="shared" si="7"/>
        <v>2562.86</v>
      </c>
      <c r="I223" s="8" t="s">
        <v>314</v>
      </c>
    </row>
    <row r="224" spans="2:9" x14ac:dyDescent="0.3">
      <c r="B224" s="15" t="s">
        <v>327</v>
      </c>
      <c r="C224" s="15" t="s">
        <v>328</v>
      </c>
      <c r="D224" s="16"/>
      <c r="E224" s="16"/>
      <c r="F224" s="16"/>
      <c r="G224" s="16"/>
      <c r="H224" s="16"/>
      <c r="I224" s="15"/>
    </row>
    <row r="225" spans="2:9" x14ac:dyDescent="0.3">
      <c r="B225" s="8" t="s">
        <v>329</v>
      </c>
      <c r="C225" s="8" t="s">
        <v>330</v>
      </c>
      <c r="D225" s="12">
        <v>161.97</v>
      </c>
      <c r="E225" s="12">
        <v>0</v>
      </c>
      <c r="F225" s="12">
        <v>0</v>
      </c>
      <c r="G225" s="12">
        <f t="shared" si="6"/>
        <v>0</v>
      </c>
      <c r="H225" s="12">
        <f t="shared" si="7"/>
        <v>161.97</v>
      </c>
      <c r="I225" s="8" t="s">
        <v>331</v>
      </c>
    </row>
    <row r="226" spans="2:9" x14ac:dyDescent="0.3">
      <c r="B226" s="8" t="s">
        <v>332</v>
      </c>
      <c r="C226" s="8" t="s">
        <v>333</v>
      </c>
      <c r="D226" s="12">
        <v>2767.78</v>
      </c>
      <c r="E226" s="12">
        <v>0</v>
      </c>
      <c r="F226" s="12">
        <v>0</v>
      </c>
      <c r="G226" s="12">
        <f t="shared" si="6"/>
        <v>0</v>
      </c>
      <c r="H226" s="12">
        <f t="shared" si="7"/>
        <v>2767.78</v>
      </c>
      <c r="I226" s="8" t="s">
        <v>331</v>
      </c>
    </row>
    <row r="227" spans="2:9" x14ac:dyDescent="0.3">
      <c r="B227" s="8" t="s">
        <v>334</v>
      </c>
      <c r="C227" s="8" t="s">
        <v>335</v>
      </c>
      <c r="D227" s="12">
        <v>710.9</v>
      </c>
      <c r="E227" s="12">
        <v>0</v>
      </c>
      <c r="F227" s="12">
        <v>0</v>
      </c>
      <c r="G227" s="12">
        <f t="shared" si="6"/>
        <v>0</v>
      </c>
      <c r="H227" s="12">
        <f t="shared" si="7"/>
        <v>710.9</v>
      </c>
      <c r="I227" s="8" t="s">
        <v>331</v>
      </c>
    </row>
    <row r="228" spans="2:9" x14ac:dyDescent="0.3">
      <c r="B228" s="8" t="s">
        <v>336</v>
      </c>
      <c r="C228" s="8" t="s">
        <v>337</v>
      </c>
      <c r="D228" s="12">
        <v>2004.83</v>
      </c>
      <c r="E228" s="12">
        <v>0</v>
      </c>
      <c r="F228" s="12">
        <v>0</v>
      </c>
      <c r="G228" s="12">
        <f t="shared" si="6"/>
        <v>0</v>
      </c>
      <c r="H228" s="12">
        <f t="shared" si="7"/>
        <v>2004.83</v>
      </c>
      <c r="I228" s="8" t="s">
        <v>331</v>
      </c>
    </row>
    <row r="229" spans="2:9" x14ac:dyDescent="0.3">
      <c r="B229" s="8" t="s">
        <v>338</v>
      </c>
      <c r="C229" s="8" t="s">
        <v>339</v>
      </c>
      <c r="D229" s="12">
        <v>930</v>
      </c>
      <c r="E229" s="12">
        <v>0</v>
      </c>
      <c r="F229" s="12">
        <v>0</v>
      </c>
      <c r="G229" s="12">
        <f t="shared" si="6"/>
        <v>0</v>
      </c>
      <c r="H229" s="12">
        <f t="shared" si="7"/>
        <v>930</v>
      </c>
      <c r="I229" s="8" t="s">
        <v>331</v>
      </c>
    </row>
    <row r="230" spans="2:9" x14ac:dyDescent="0.3">
      <c r="B230" s="8" t="s">
        <v>340</v>
      </c>
      <c r="C230" s="8" t="s">
        <v>341</v>
      </c>
      <c r="D230" s="12">
        <v>280</v>
      </c>
      <c r="E230" s="12">
        <v>0</v>
      </c>
      <c r="F230" s="12">
        <v>0</v>
      </c>
      <c r="G230" s="12">
        <f t="shared" si="6"/>
        <v>0</v>
      </c>
      <c r="H230" s="12">
        <f t="shared" si="7"/>
        <v>280</v>
      </c>
      <c r="I230" s="8" t="s">
        <v>331</v>
      </c>
    </row>
    <row r="231" spans="2:9" x14ac:dyDescent="0.3">
      <c r="B231" s="8" t="s">
        <v>342</v>
      </c>
      <c r="C231" s="8" t="s">
        <v>343</v>
      </c>
      <c r="D231" s="12">
        <v>6645.64</v>
      </c>
      <c r="E231" s="12">
        <v>248.75</v>
      </c>
      <c r="F231" s="12">
        <v>0</v>
      </c>
      <c r="G231" s="12">
        <f t="shared" si="6"/>
        <v>248.75</v>
      </c>
      <c r="H231" s="12">
        <f t="shared" si="7"/>
        <v>6894.39</v>
      </c>
      <c r="I231" s="8" t="s">
        <v>331</v>
      </c>
    </row>
    <row r="232" spans="2:9" x14ac:dyDescent="0.3">
      <c r="B232" s="8" t="s">
        <v>344</v>
      </c>
      <c r="C232" s="8" t="s">
        <v>345</v>
      </c>
      <c r="D232" s="12">
        <v>4204.1099999999997</v>
      </c>
      <c r="E232" s="12">
        <v>0</v>
      </c>
      <c r="F232" s="12">
        <v>0</v>
      </c>
      <c r="G232" s="12">
        <f t="shared" si="6"/>
        <v>0</v>
      </c>
      <c r="H232" s="12">
        <f t="shared" si="7"/>
        <v>4204.1099999999997</v>
      </c>
      <c r="I232" s="8" t="s">
        <v>331</v>
      </c>
    </row>
    <row r="233" spans="2:9" x14ac:dyDescent="0.3">
      <c r="B233" s="8" t="s">
        <v>346</v>
      </c>
      <c r="C233" s="8" t="s">
        <v>347</v>
      </c>
      <c r="D233" s="12">
        <v>311.27</v>
      </c>
      <c r="E233" s="12">
        <v>0</v>
      </c>
      <c r="F233" s="12">
        <v>0</v>
      </c>
      <c r="G233" s="12">
        <f t="shared" si="6"/>
        <v>0</v>
      </c>
      <c r="H233" s="12">
        <f t="shared" si="7"/>
        <v>311.27</v>
      </c>
      <c r="I233" s="8" t="s">
        <v>331</v>
      </c>
    </row>
    <row r="234" spans="2:9" x14ac:dyDescent="0.3">
      <c r="B234" s="8" t="s">
        <v>348</v>
      </c>
      <c r="C234" s="8" t="s">
        <v>349</v>
      </c>
      <c r="D234" s="12">
        <v>2015</v>
      </c>
      <c r="E234" s="12">
        <v>0</v>
      </c>
      <c r="F234" s="12">
        <v>0</v>
      </c>
      <c r="G234" s="12">
        <f t="shared" si="6"/>
        <v>0</v>
      </c>
      <c r="H234" s="12">
        <f t="shared" si="7"/>
        <v>2015</v>
      </c>
      <c r="I234" s="8" t="s">
        <v>331</v>
      </c>
    </row>
    <row r="235" spans="2:9" x14ac:dyDescent="0.3">
      <c r="B235" s="8" t="s">
        <v>572</v>
      </c>
      <c r="C235" s="8" t="s">
        <v>573</v>
      </c>
      <c r="D235" s="12">
        <v>400</v>
      </c>
      <c r="E235" s="12">
        <v>0</v>
      </c>
      <c r="F235" s="12">
        <v>0</v>
      </c>
      <c r="G235" s="12">
        <f t="shared" si="6"/>
        <v>0</v>
      </c>
      <c r="H235" s="12">
        <f t="shared" si="7"/>
        <v>400</v>
      </c>
      <c r="I235" s="8" t="s">
        <v>331</v>
      </c>
    </row>
    <row r="236" spans="2:9" x14ac:dyDescent="0.3">
      <c r="B236" s="8" t="s">
        <v>574</v>
      </c>
      <c r="C236" s="8" t="s">
        <v>575</v>
      </c>
      <c r="D236" s="12">
        <v>530</v>
      </c>
      <c r="E236" s="12">
        <v>0</v>
      </c>
      <c r="F236" s="12">
        <v>0</v>
      </c>
      <c r="G236" s="12">
        <f t="shared" si="6"/>
        <v>0</v>
      </c>
      <c r="H236" s="12">
        <f t="shared" si="7"/>
        <v>530</v>
      </c>
      <c r="I236" s="8" t="s">
        <v>331</v>
      </c>
    </row>
    <row r="237" spans="2:9" x14ac:dyDescent="0.3">
      <c r="B237" s="8" t="s">
        <v>576</v>
      </c>
      <c r="C237" s="8" t="s">
        <v>577</v>
      </c>
      <c r="D237" s="12">
        <v>1200</v>
      </c>
      <c r="E237" s="12">
        <v>0</v>
      </c>
      <c r="F237" s="12">
        <v>0</v>
      </c>
      <c r="G237" s="12">
        <f t="shared" si="6"/>
        <v>0</v>
      </c>
      <c r="H237" s="12">
        <f t="shared" si="7"/>
        <v>1200</v>
      </c>
      <c r="I237" s="8" t="s">
        <v>331</v>
      </c>
    </row>
    <row r="238" spans="2:9" x14ac:dyDescent="0.3">
      <c r="B238" s="8" t="s">
        <v>350</v>
      </c>
      <c r="C238" s="8" t="s">
        <v>351</v>
      </c>
      <c r="D238" s="12">
        <v>2000</v>
      </c>
      <c r="E238" s="12">
        <v>0</v>
      </c>
      <c r="F238" s="12">
        <v>0</v>
      </c>
      <c r="G238" s="12">
        <f t="shared" si="6"/>
        <v>0</v>
      </c>
      <c r="H238" s="12">
        <f t="shared" si="7"/>
        <v>2000</v>
      </c>
      <c r="I238" s="8" t="s">
        <v>331</v>
      </c>
    </row>
    <row r="239" spans="2:9" x14ac:dyDescent="0.3">
      <c r="B239" s="8" t="s">
        <v>352</v>
      </c>
      <c r="C239" s="8" t="s">
        <v>353</v>
      </c>
      <c r="D239" s="12">
        <v>5505</v>
      </c>
      <c r="E239" s="12">
        <v>0</v>
      </c>
      <c r="F239" s="12">
        <v>0</v>
      </c>
      <c r="G239" s="12">
        <f t="shared" si="6"/>
        <v>0</v>
      </c>
      <c r="H239" s="12">
        <f t="shared" si="7"/>
        <v>5505</v>
      </c>
      <c r="I239" s="8" t="s">
        <v>331</v>
      </c>
    </row>
    <row r="240" spans="2:9" x14ac:dyDescent="0.3">
      <c r="B240" s="8" t="s">
        <v>578</v>
      </c>
      <c r="C240" s="8" t="s">
        <v>579</v>
      </c>
      <c r="D240" s="12">
        <v>1146.52</v>
      </c>
      <c r="E240" s="12">
        <v>0</v>
      </c>
      <c r="F240" s="12">
        <v>0</v>
      </c>
      <c r="G240" s="12">
        <f t="shared" si="6"/>
        <v>0</v>
      </c>
      <c r="H240" s="12">
        <f t="shared" si="7"/>
        <v>1146.52</v>
      </c>
      <c r="I240" s="8" t="s">
        <v>331</v>
      </c>
    </row>
    <row r="241" spans="2:9" x14ac:dyDescent="0.3">
      <c r="B241" s="15" t="s">
        <v>354</v>
      </c>
      <c r="C241" s="15" t="s">
        <v>355</v>
      </c>
      <c r="D241" s="16"/>
      <c r="E241" s="16"/>
      <c r="F241" s="16"/>
      <c r="G241" s="16"/>
      <c r="H241" s="16"/>
      <c r="I241" s="15"/>
    </row>
    <row r="242" spans="2:9" x14ac:dyDescent="0.3">
      <c r="B242" s="8" t="s">
        <v>356</v>
      </c>
      <c r="C242" s="8" t="s">
        <v>357</v>
      </c>
      <c r="D242" s="12">
        <v>120</v>
      </c>
      <c r="E242" s="12">
        <v>0</v>
      </c>
      <c r="F242" s="12">
        <v>0</v>
      </c>
      <c r="G242" s="12">
        <f t="shared" si="6"/>
        <v>0</v>
      </c>
      <c r="H242" s="12">
        <f t="shared" si="7"/>
        <v>120</v>
      </c>
      <c r="I242" s="8" t="s">
        <v>358</v>
      </c>
    </row>
    <row r="243" spans="2:9" x14ac:dyDescent="0.3">
      <c r="B243" s="8" t="s">
        <v>359</v>
      </c>
      <c r="C243" s="8" t="s">
        <v>360</v>
      </c>
      <c r="D243" s="12">
        <v>2849</v>
      </c>
      <c r="E243" s="12">
        <v>1518</v>
      </c>
      <c r="F243" s="12">
        <v>0</v>
      </c>
      <c r="G243" s="12">
        <f t="shared" si="6"/>
        <v>1518</v>
      </c>
      <c r="H243" s="12">
        <f t="shared" si="7"/>
        <v>4367</v>
      </c>
      <c r="I243" s="8" t="s">
        <v>358</v>
      </c>
    </row>
    <row r="244" spans="2:9" x14ac:dyDescent="0.3">
      <c r="B244" s="8" t="s">
        <v>580</v>
      </c>
      <c r="C244" s="8" t="s">
        <v>581</v>
      </c>
      <c r="D244" s="12">
        <v>20</v>
      </c>
      <c r="E244" s="12">
        <v>0</v>
      </c>
      <c r="F244" s="12">
        <v>0</v>
      </c>
      <c r="G244" s="12">
        <f t="shared" si="6"/>
        <v>0</v>
      </c>
      <c r="H244" s="12">
        <f t="shared" si="7"/>
        <v>20</v>
      </c>
      <c r="I244" s="8" t="s">
        <v>358</v>
      </c>
    </row>
    <row r="245" spans="2:9" x14ac:dyDescent="0.3">
      <c r="B245" s="8" t="s">
        <v>361</v>
      </c>
      <c r="C245" s="8" t="s">
        <v>362</v>
      </c>
      <c r="D245" s="12">
        <v>1135.04</v>
      </c>
      <c r="E245" s="12">
        <v>0</v>
      </c>
      <c r="F245" s="12">
        <v>0</v>
      </c>
      <c r="G245" s="12">
        <f t="shared" si="6"/>
        <v>0</v>
      </c>
      <c r="H245" s="12">
        <f t="shared" si="7"/>
        <v>1135.04</v>
      </c>
      <c r="I245" s="8" t="s">
        <v>358</v>
      </c>
    </row>
    <row r="246" spans="2:9" x14ac:dyDescent="0.3">
      <c r="B246" s="8" t="s">
        <v>363</v>
      </c>
      <c r="C246" s="8" t="s">
        <v>364</v>
      </c>
      <c r="D246" s="12">
        <v>26045.9</v>
      </c>
      <c r="E246" s="12">
        <v>14540.36</v>
      </c>
      <c r="F246" s="12">
        <v>0</v>
      </c>
      <c r="G246" s="12">
        <f t="shared" si="6"/>
        <v>14540.36</v>
      </c>
      <c r="H246" s="12">
        <f t="shared" si="7"/>
        <v>40586.26</v>
      </c>
      <c r="I246" s="8" t="s">
        <v>358</v>
      </c>
    </row>
    <row r="247" spans="2:9" x14ac:dyDescent="0.3">
      <c r="B247" s="8" t="s">
        <v>365</v>
      </c>
      <c r="C247" s="8" t="s">
        <v>366</v>
      </c>
      <c r="D247" s="12">
        <v>655.41</v>
      </c>
      <c r="E247" s="12">
        <v>220</v>
      </c>
      <c r="F247" s="12">
        <v>0</v>
      </c>
      <c r="G247" s="12">
        <f t="shared" si="6"/>
        <v>220</v>
      </c>
      <c r="H247" s="12">
        <f t="shared" si="7"/>
        <v>875.41</v>
      </c>
      <c r="I247" s="8" t="s">
        <v>358</v>
      </c>
    </row>
    <row r="248" spans="2:9" x14ac:dyDescent="0.3">
      <c r="B248" s="8" t="s">
        <v>367</v>
      </c>
      <c r="C248" s="8" t="s">
        <v>368</v>
      </c>
      <c r="D248" s="12">
        <v>160</v>
      </c>
      <c r="E248" s="12">
        <v>0</v>
      </c>
      <c r="F248" s="12">
        <v>0</v>
      </c>
      <c r="G248" s="12">
        <f t="shared" si="6"/>
        <v>0</v>
      </c>
      <c r="H248" s="12">
        <f t="shared" si="7"/>
        <v>160</v>
      </c>
      <c r="I248" s="8" t="s">
        <v>358</v>
      </c>
    </row>
    <row r="249" spans="2:9" x14ac:dyDescent="0.3">
      <c r="B249" s="15" t="s">
        <v>369</v>
      </c>
      <c r="C249" s="15" t="s">
        <v>370</v>
      </c>
      <c r="D249" s="16"/>
      <c r="E249" s="16"/>
      <c r="F249" s="16"/>
      <c r="G249" s="16"/>
      <c r="H249" s="16"/>
      <c r="I249" s="15"/>
    </row>
    <row r="250" spans="2:9" x14ac:dyDescent="0.3">
      <c r="B250" s="8" t="s">
        <v>582</v>
      </c>
      <c r="C250" s="8" t="s">
        <v>583</v>
      </c>
      <c r="D250" s="12">
        <v>333</v>
      </c>
      <c r="E250" s="12">
        <v>0</v>
      </c>
      <c r="F250" s="12">
        <v>0</v>
      </c>
      <c r="G250" s="12">
        <f t="shared" si="6"/>
        <v>0</v>
      </c>
      <c r="H250" s="12">
        <f t="shared" si="7"/>
        <v>333</v>
      </c>
      <c r="I250" s="8" t="s">
        <v>373</v>
      </c>
    </row>
    <row r="251" spans="2:9" x14ac:dyDescent="0.3">
      <c r="B251" s="8" t="s">
        <v>371</v>
      </c>
      <c r="C251" s="8" t="s">
        <v>372</v>
      </c>
      <c r="D251" s="12">
        <v>5397.39</v>
      </c>
      <c r="E251" s="12">
        <v>821.74</v>
      </c>
      <c r="F251" s="12">
        <v>0</v>
      </c>
      <c r="G251" s="12">
        <f t="shared" si="6"/>
        <v>821.74</v>
      </c>
      <c r="H251" s="12">
        <f t="shared" si="7"/>
        <v>6219.13</v>
      </c>
      <c r="I251" s="8" t="s">
        <v>373</v>
      </c>
    </row>
    <row r="252" spans="2:9" x14ac:dyDescent="0.3">
      <c r="B252" s="8" t="s">
        <v>374</v>
      </c>
      <c r="C252" s="8" t="s">
        <v>375</v>
      </c>
      <c r="D252" s="12">
        <v>939.28</v>
      </c>
      <c r="E252" s="12">
        <v>444.35</v>
      </c>
      <c r="F252" s="12">
        <v>0</v>
      </c>
      <c r="G252" s="12">
        <f t="shared" si="6"/>
        <v>444.35</v>
      </c>
      <c r="H252" s="12">
        <f t="shared" si="7"/>
        <v>1383.63</v>
      </c>
      <c r="I252" s="8" t="s">
        <v>373</v>
      </c>
    </row>
    <row r="253" spans="2:9" x14ac:dyDescent="0.3">
      <c r="B253" s="8" t="s">
        <v>376</v>
      </c>
      <c r="C253" s="8" t="s">
        <v>377</v>
      </c>
      <c r="D253" s="12">
        <v>1047.1199999999999</v>
      </c>
      <c r="E253" s="12">
        <v>478.26</v>
      </c>
      <c r="F253" s="12">
        <v>0</v>
      </c>
      <c r="G253" s="12">
        <f t="shared" si="6"/>
        <v>478.26</v>
      </c>
      <c r="H253" s="12">
        <f t="shared" si="7"/>
        <v>1525.3799999999999</v>
      </c>
      <c r="I253" s="8" t="s">
        <v>373</v>
      </c>
    </row>
    <row r="254" spans="2:9" x14ac:dyDescent="0.3">
      <c r="B254" s="8" t="s">
        <v>378</v>
      </c>
      <c r="C254" s="8" t="s">
        <v>379</v>
      </c>
      <c r="D254" s="12">
        <v>757.56</v>
      </c>
      <c r="E254" s="12">
        <v>417.39</v>
      </c>
      <c r="F254" s="12">
        <v>0</v>
      </c>
      <c r="G254" s="12">
        <f t="shared" si="6"/>
        <v>417.39</v>
      </c>
      <c r="H254" s="12">
        <f t="shared" si="7"/>
        <v>1174.9499999999998</v>
      </c>
      <c r="I254" s="8" t="s">
        <v>373</v>
      </c>
    </row>
    <row r="255" spans="2:9" x14ac:dyDescent="0.3">
      <c r="B255" s="8" t="s">
        <v>380</v>
      </c>
      <c r="C255" s="8" t="s">
        <v>381</v>
      </c>
      <c r="D255" s="12">
        <v>428.69</v>
      </c>
      <c r="E255" s="12">
        <v>258.26</v>
      </c>
      <c r="F255" s="12">
        <v>0</v>
      </c>
      <c r="G255" s="12">
        <f t="shared" si="6"/>
        <v>258.26</v>
      </c>
      <c r="H255" s="12">
        <f t="shared" si="7"/>
        <v>686.95</v>
      </c>
      <c r="I255" s="8" t="s">
        <v>373</v>
      </c>
    </row>
    <row r="256" spans="2:9" x14ac:dyDescent="0.3">
      <c r="B256" s="8" t="s">
        <v>382</v>
      </c>
      <c r="C256" s="8" t="s">
        <v>383</v>
      </c>
      <c r="D256" s="12">
        <v>1046</v>
      </c>
      <c r="E256" s="12">
        <v>619.07000000000005</v>
      </c>
      <c r="F256" s="12">
        <v>0</v>
      </c>
      <c r="G256" s="12">
        <f t="shared" si="6"/>
        <v>619.07000000000005</v>
      </c>
      <c r="H256" s="12">
        <f t="shared" si="7"/>
        <v>1665.0700000000002</v>
      </c>
      <c r="I256" s="8" t="s">
        <v>373</v>
      </c>
    </row>
    <row r="257" spans="2:9" x14ac:dyDescent="0.3">
      <c r="B257" s="8" t="s">
        <v>384</v>
      </c>
      <c r="C257" s="8" t="s">
        <v>385</v>
      </c>
      <c r="D257" s="12">
        <v>2472.9899999999998</v>
      </c>
      <c r="E257" s="12">
        <v>1330.43</v>
      </c>
      <c r="F257" s="12">
        <v>0</v>
      </c>
      <c r="G257" s="12">
        <f t="shared" si="6"/>
        <v>1330.43</v>
      </c>
      <c r="H257" s="12">
        <f t="shared" si="7"/>
        <v>3803.42</v>
      </c>
      <c r="I257" s="8" t="s">
        <v>373</v>
      </c>
    </row>
    <row r="258" spans="2:9" x14ac:dyDescent="0.3">
      <c r="B258" s="8" t="s">
        <v>584</v>
      </c>
      <c r="C258" s="8" t="s">
        <v>585</v>
      </c>
      <c r="D258" s="12">
        <v>317.02999999999997</v>
      </c>
      <c r="E258" s="12">
        <v>298.56</v>
      </c>
      <c r="F258" s="12">
        <v>0</v>
      </c>
      <c r="G258" s="12">
        <f t="shared" si="6"/>
        <v>298.56</v>
      </c>
      <c r="H258" s="12">
        <f t="shared" si="7"/>
        <v>615.58999999999992</v>
      </c>
      <c r="I258" s="8" t="s">
        <v>373</v>
      </c>
    </row>
    <row r="259" spans="2:9" x14ac:dyDescent="0.3">
      <c r="B259" s="8" t="s">
        <v>386</v>
      </c>
      <c r="C259" s="8" t="s">
        <v>387</v>
      </c>
      <c r="D259" s="12">
        <v>521.74</v>
      </c>
      <c r="E259" s="12">
        <v>260.87</v>
      </c>
      <c r="F259" s="12">
        <v>0</v>
      </c>
      <c r="G259" s="12">
        <f t="shared" si="6"/>
        <v>260.87</v>
      </c>
      <c r="H259" s="12">
        <f t="shared" si="7"/>
        <v>782.61</v>
      </c>
      <c r="I259" s="8" t="s">
        <v>373</v>
      </c>
    </row>
    <row r="260" spans="2:9" x14ac:dyDescent="0.3">
      <c r="B260" s="8" t="s">
        <v>586</v>
      </c>
      <c r="C260" s="8" t="s">
        <v>587</v>
      </c>
      <c r="D260" s="12">
        <v>1665</v>
      </c>
      <c r="E260" s="12">
        <v>0</v>
      </c>
      <c r="F260" s="12">
        <v>0</v>
      </c>
      <c r="G260" s="12">
        <f t="shared" si="6"/>
        <v>0</v>
      </c>
      <c r="H260" s="12">
        <f t="shared" si="7"/>
        <v>1665</v>
      </c>
      <c r="I260" s="8" t="s">
        <v>373</v>
      </c>
    </row>
    <row r="261" spans="2:9" x14ac:dyDescent="0.3">
      <c r="B261" s="8" t="s">
        <v>388</v>
      </c>
      <c r="C261" s="8" t="s">
        <v>389</v>
      </c>
      <c r="D261" s="12">
        <v>868.19</v>
      </c>
      <c r="E261" s="12">
        <v>434.27</v>
      </c>
      <c r="F261" s="12">
        <v>0</v>
      </c>
      <c r="G261" s="12">
        <f t="shared" si="6"/>
        <v>434.27</v>
      </c>
      <c r="H261" s="12">
        <f t="shared" si="7"/>
        <v>1302.46</v>
      </c>
      <c r="I261" s="8" t="s">
        <v>373</v>
      </c>
    </row>
    <row r="262" spans="2:9" x14ac:dyDescent="0.3">
      <c r="B262" s="15" t="s">
        <v>390</v>
      </c>
      <c r="C262" s="15" t="s">
        <v>391</v>
      </c>
      <c r="D262" s="16"/>
      <c r="E262" s="16"/>
      <c r="F262" s="16"/>
      <c r="G262" s="16"/>
      <c r="H262" s="16"/>
      <c r="I262" s="15"/>
    </row>
    <row r="263" spans="2:9" x14ac:dyDescent="0.3">
      <c r="B263" s="8" t="s">
        <v>588</v>
      </c>
      <c r="C263" s="8" t="s">
        <v>589</v>
      </c>
      <c r="D263" s="12">
        <v>985.8</v>
      </c>
      <c r="E263" s="12">
        <v>985.8</v>
      </c>
      <c r="F263" s="12">
        <v>0</v>
      </c>
      <c r="G263" s="12">
        <f t="shared" si="6"/>
        <v>985.8</v>
      </c>
      <c r="H263" s="12">
        <f t="shared" si="7"/>
        <v>1971.6</v>
      </c>
      <c r="I263" s="8" t="s">
        <v>394</v>
      </c>
    </row>
    <row r="264" spans="2:9" x14ac:dyDescent="0.3">
      <c r="B264" s="8" t="s">
        <v>638</v>
      </c>
      <c r="C264" s="8" t="s">
        <v>639</v>
      </c>
      <c r="D264" s="12">
        <v>0</v>
      </c>
      <c r="E264" s="12">
        <v>3500</v>
      </c>
      <c r="F264" s="12">
        <v>0</v>
      </c>
      <c r="G264" s="12">
        <f t="shared" si="6"/>
        <v>3500</v>
      </c>
      <c r="H264" s="12">
        <f t="shared" si="7"/>
        <v>3500</v>
      </c>
      <c r="I264" s="8" t="s">
        <v>394</v>
      </c>
    </row>
    <row r="265" spans="2:9" x14ac:dyDescent="0.3">
      <c r="B265" s="8" t="s">
        <v>392</v>
      </c>
      <c r="C265" s="8" t="s">
        <v>393</v>
      </c>
      <c r="D265" s="12">
        <v>31004.22</v>
      </c>
      <c r="E265" s="12">
        <v>15502.11</v>
      </c>
      <c r="F265" s="12">
        <v>0</v>
      </c>
      <c r="G265" s="12">
        <f t="shared" ref="G265:G296" si="8">E265-F265</f>
        <v>15502.11</v>
      </c>
      <c r="H265" s="12">
        <f t="shared" ref="H265:H296" si="9">D265+G265</f>
        <v>46506.33</v>
      </c>
      <c r="I265" s="8" t="s">
        <v>394</v>
      </c>
    </row>
    <row r="266" spans="2:9" x14ac:dyDescent="0.3">
      <c r="B266" s="15" t="s">
        <v>395</v>
      </c>
      <c r="C266" s="15" t="s">
        <v>396</v>
      </c>
      <c r="D266" s="16"/>
      <c r="E266" s="16"/>
      <c r="F266" s="16"/>
      <c r="G266" s="16"/>
      <c r="H266" s="16"/>
      <c r="I266" s="15"/>
    </row>
    <row r="267" spans="2:9" x14ac:dyDescent="0.3">
      <c r="B267" s="8" t="s">
        <v>397</v>
      </c>
      <c r="C267" s="8" t="s">
        <v>398</v>
      </c>
      <c r="D267" s="12">
        <v>177998.05</v>
      </c>
      <c r="E267" s="12">
        <v>78993.600000000006</v>
      </c>
      <c r="F267" s="12">
        <v>0</v>
      </c>
      <c r="G267" s="12">
        <f t="shared" si="8"/>
        <v>78993.600000000006</v>
      </c>
      <c r="H267" s="12">
        <f t="shared" si="9"/>
        <v>256991.65</v>
      </c>
      <c r="I267" s="8" t="s">
        <v>399</v>
      </c>
    </row>
    <row r="268" spans="2:9" x14ac:dyDescent="0.3">
      <c r="B268" s="8" t="s">
        <v>400</v>
      </c>
      <c r="C268" s="8" t="s">
        <v>401</v>
      </c>
      <c r="D268" s="12">
        <v>113589.18</v>
      </c>
      <c r="E268" s="12">
        <v>13579.29</v>
      </c>
      <c r="F268" s="12">
        <v>0</v>
      </c>
      <c r="G268" s="12">
        <f t="shared" si="8"/>
        <v>13579.29</v>
      </c>
      <c r="H268" s="12">
        <f t="shared" si="9"/>
        <v>127168.47</v>
      </c>
      <c r="I268" s="8" t="s">
        <v>399</v>
      </c>
    </row>
    <row r="269" spans="2:9" x14ac:dyDescent="0.3">
      <c r="B269" s="8" t="s">
        <v>402</v>
      </c>
      <c r="C269" s="8" t="s">
        <v>403</v>
      </c>
      <c r="D269" s="12">
        <v>959.22</v>
      </c>
      <c r="E269" s="12">
        <v>0</v>
      </c>
      <c r="F269" s="12">
        <v>0</v>
      </c>
      <c r="G269" s="12">
        <f t="shared" si="8"/>
        <v>0</v>
      </c>
      <c r="H269" s="12">
        <f t="shared" si="9"/>
        <v>959.22</v>
      </c>
      <c r="I269" s="8" t="s">
        <v>399</v>
      </c>
    </row>
    <row r="270" spans="2:9" x14ac:dyDescent="0.3">
      <c r="B270" s="8" t="s">
        <v>590</v>
      </c>
      <c r="C270" s="8" t="s">
        <v>591</v>
      </c>
      <c r="D270" s="12">
        <v>85</v>
      </c>
      <c r="E270" s="12">
        <v>0</v>
      </c>
      <c r="F270" s="12">
        <v>0</v>
      </c>
      <c r="G270" s="12">
        <f t="shared" si="8"/>
        <v>0</v>
      </c>
      <c r="H270" s="12">
        <f t="shared" si="9"/>
        <v>85</v>
      </c>
      <c r="I270" s="8" t="s">
        <v>399</v>
      </c>
    </row>
    <row r="271" spans="2:9" x14ac:dyDescent="0.3">
      <c r="B271" s="8" t="s">
        <v>404</v>
      </c>
      <c r="C271" s="8" t="s">
        <v>405</v>
      </c>
      <c r="D271" s="12">
        <v>2070</v>
      </c>
      <c r="E271" s="12">
        <v>0</v>
      </c>
      <c r="F271" s="12">
        <v>0</v>
      </c>
      <c r="G271" s="12">
        <f t="shared" si="8"/>
        <v>0</v>
      </c>
      <c r="H271" s="12">
        <f t="shared" si="9"/>
        <v>2070</v>
      </c>
      <c r="I271" s="8" t="s">
        <v>399</v>
      </c>
    </row>
    <row r="272" spans="2:9" x14ac:dyDescent="0.3">
      <c r="B272" s="8" t="s">
        <v>640</v>
      </c>
      <c r="C272" s="8" t="s">
        <v>641</v>
      </c>
      <c r="D272" s="12">
        <v>0</v>
      </c>
      <c r="E272" s="12">
        <v>2467</v>
      </c>
      <c r="F272" s="12">
        <v>0</v>
      </c>
      <c r="G272" s="12">
        <f t="shared" si="8"/>
        <v>2467</v>
      </c>
      <c r="H272" s="12">
        <f t="shared" si="9"/>
        <v>2467</v>
      </c>
      <c r="I272" s="8" t="s">
        <v>399</v>
      </c>
    </row>
    <row r="273" spans="2:9" x14ac:dyDescent="0.3">
      <c r="B273" s="8" t="s">
        <v>592</v>
      </c>
      <c r="C273" s="8" t="s">
        <v>593</v>
      </c>
      <c r="D273" s="12">
        <v>375</v>
      </c>
      <c r="E273" s="12">
        <v>0</v>
      </c>
      <c r="F273" s="12">
        <v>0</v>
      </c>
      <c r="G273" s="12">
        <f t="shared" si="8"/>
        <v>0</v>
      </c>
      <c r="H273" s="12">
        <f t="shared" si="9"/>
        <v>375</v>
      </c>
      <c r="I273" s="8" t="s">
        <v>399</v>
      </c>
    </row>
    <row r="274" spans="2:9" x14ac:dyDescent="0.3">
      <c r="B274" s="8" t="s">
        <v>594</v>
      </c>
      <c r="C274" s="8" t="s">
        <v>595</v>
      </c>
      <c r="D274" s="12">
        <v>22</v>
      </c>
      <c r="E274" s="12">
        <v>0</v>
      </c>
      <c r="F274" s="12">
        <v>0</v>
      </c>
      <c r="G274" s="12">
        <f t="shared" si="8"/>
        <v>0</v>
      </c>
      <c r="H274" s="12">
        <f t="shared" si="9"/>
        <v>22</v>
      </c>
      <c r="I274" s="8" t="s">
        <v>399</v>
      </c>
    </row>
    <row r="275" spans="2:9" x14ac:dyDescent="0.3">
      <c r="B275" s="8" t="s">
        <v>406</v>
      </c>
      <c r="C275" s="8" t="s">
        <v>407</v>
      </c>
      <c r="D275" s="12">
        <v>3243.83</v>
      </c>
      <c r="E275" s="12">
        <v>0</v>
      </c>
      <c r="F275" s="12">
        <v>0</v>
      </c>
      <c r="G275" s="12">
        <f t="shared" si="8"/>
        <v>0</v>
      </c>
      <c r="H275" s="12">
        <f t="shared" si="9"/>
        <v>3243.83</v>
      </c>
      <c r="I275" s="8" t="s">
        <v>399</v>
      </c>
    </row>
    <row r="276" spans="2:9" x14ac:dyDescent="0.3">
      <c r="B276" s="15" t="s">
        <v>408</v>
      </c>
      <c r="C276" s="15" t="s">
        <v>409</v>
      </c>
      <c r="D276" s="16"/>
      <c r="E276" s="16"/>
      <c r="F276" s="16"/>
      <c r="G276" s="16"/>
      <c r="H276" s="16"/>
      <c r="I276" s="15"/>
    </row>
    <row r="277" spans="2:9" x14ac:dyDescent="0.3">
      <c r="B277" s="8" t="s">
        <v>410</v>
      </c>
      <c r="C277" s="8" t="s">
        <v>411</v>
      </c>
      <c r="D277" s="12">
        <v>4735.63</v>
      </c>
      <c r="E277" s="12">
        <v>919</v>
      </c>
      <c r="F277" s="12">
        <v>0</v>
      </c>
      <c r="G277" s="12">
        <f t="shared" si="8"/>
        <v>919</v>
      </c>
      <c r="H277" s="12">
        <f t="shared" si="9"/>
        <v>5654.63</v>
      </c>
      <c r="I277" s="8" t="s">
        <v>412</v>
      </c>
    </row>
    <row r="278" spans="2:9" x14ac:dyDescent="0.3">
      <c r="B278" s="8" t="s">
        <v>413</v>
      </c>
      <c r="C278" s="8" t="s">
        <v>414</v>
      </c>
      <c r="D278" s="12">
        <v>6552.74</v>
      </c>
      <c r="E278" s="12">
        <v>0</v>
      </c>
      <c r="F278" s="12">
        <v>0</v>
      </c>
      <c r="G278" s="12">
        <f t="shared" si="8"/>
        <v>0</v>
      </c>
      <c r="H278" s="12">
        <f t="shared" si="9"/>
        <v>6552.74</v>
      </c>
      <c r="I278" s="8" t="s">
        <v>412</v>
      </c>
    </row>
    <row r="279" spans="2:9" x14ac:dyDescent="0.3">
      <c r="B279" s="8" t="s">
        <v>596</v>
      </c>
      <c r="C279" s="8" t="s">
        <v>597</v>
      </c>
      <c r="D279" s="12">
        <v>12000</v>
      </c>
      <c r="E279" s="12">
        <v>17000</v>
      </c>
      <c r="F279" s="12">
        <v>0</v>
      </c>
      <c r="G279" s="12">
        <f t="shared" si="8"/>
        <v>17000</v>
      </c>
      <c r="H279" s="12">
        <f t="shared" si="9"/>
        <v>29000</v>
      </c>
      <c r="I279" s="8" t="s">
        <v>412</v>
      </c>
    </row>
    <row r="280" spans="2:9" x14ac:dyDescent="0.3">
      <c r="B280" s="8" t="s">
        <v>598</v>
      </c>
      <c r="C280" s="8" t="s">
        <v>599</v>
      </c>
      <c r="D280" s="12">
        <v>3484.05</v>
      </c>
      <c r="E280" s="12">
        <v>1707.75</v>
      </c>
      <c r="F280" s="12">
        <v>0</v>
      </c>
      <c r="G280" s="12">
        <f t="shared" si="8"/>
        <v>1707.75</v>
      </c>
      <c r="H280" s="12">
        <f t="shared" si="9"/>
        <v>5191.8</v>
      </c>
      <c r="I280" s="8" t="s">
        <v>412</v>
      </c>
    </row>
    <row r="281" spans="2:9" x14ac:dyDescent="0.3">
      <c r="B281" s="8" t="s">
        <v>415</v>
      </c>
      <c r="C281" s="8" t="s">
        <v>416</v>
      </c>
      <c r="D281" s="12">
        <v>2200</v>
      </c>
      <c r="E281" s="12">
        <v>3025</v>
      </c>
      <c r="F281" s="12">
        <v>2000</v>
      </c>
      <c r="G281" s="12">
        <f t="shared" si="8"/>
        <v>1025</v>
      </c>
      <c r="H281" s="12">
        <f t="shared" si="9"/>
        <v>3225</v>
      </c>
      <c r="I281" s="8" t="s">
        <v>412</v>
      </c>
    </row>
    <row r="282" spans="2:9" x14ac:dyDescent="0.3">
      <c r="B282" s="8" t="s">
        <v>642</v>
      </c>
      <c r="C282" s="8" t="s">
        <v>643</v>
      </c>
      <c r="D282" s="12">
        <v>0</v>
      </c>
      <c r="E282" s="12">
        <v>7219.8</v>
      </c>
      <c r="F282" s="12">
        <v>0</v>
      </c>
      <c r="G282" s="12">
        <f t="shared" si="8"/>
        <v>7219.8</v>
      </c>
      <c r="H282" s="12">
        <f t="shared" si="9"/>
        <v>7219.8</v>
      </c>
      <c r="I282" s="8" t="s">
        <v>412</v>
      </c>
    </row>
    <row r="283" spans="2:9" x14ac:dyDescent="0.3">
      <c r="B283" s="8" t="s">
        <v>417</v>
      </c>
      <c r="C283" s="8" t="s">
        <v>418</v>
      </c>
      <c r="D283" s="12">
        <v>4048.25</v>
      </c>
      <c r="E283" s="12">
        <v>564.29999999999995</v>
      </c>
      <c r="F283" s="12">
        <v>0</v>
      </c>
      <c r="G283" s="12">
        <f t="shared" si="8"/>
        <v>564.29999999999995</v>
      </c>
      <c r="H283" s="12">
        <f t="shared" si="9"/>
        <v>4612.55</v>
      </c>
      <c r="I283" s="8" t="s">
        <v>412</v>
      </c>
    </row>
    <row r="284" spans="2:9" x14ac:dyDescent="0.3">
      <c r="B284" s="15" t="s">
        <v>419</v>
      </c>
      <c r="C284" s="15" t="s">
        <v>420</v>
      </c>
      <c r="D284" s="16"/>
      <c r="E284" s="16"/>
      <c r="F284" s="16"/>
      <c r="G284" s="16"/>
      <c r="H284" s="16"/>
      <c r="I284" s="15"/>
    </row>
    <row r="285" spans="2:9" x14ac:dyDescent="0.3">
      <c r="B285" s="8" t="s">
        <v>421</v>
      </c>
      <c r="C285" s="8" t="s">
        <v>422</v>
      </c>
      <c r="D285" s="12">
        <v>107704.2</v>
      </c>
      <c r="E285" s="12">
        <v>115008</v>
      </c>
      <c r="F285" s="12">
        <v>57504</v>
      </c>
      <c r="G285" s="12">
        <f t="shared" si="8"/>
        <v>57504</v>
      </c>
      <c r="H285" s="12">
        <f t="shared" si="9"/>
        <v>165208.20000000001</v>
      </c>
      <c r="I285" s="8" t="s">
        <v>423</v>
      </c>
    </row>
    <row r="286" spans="2:9" x14ac:dyDescent="0.3">
      <c r="B286" s="8" t="s">
        <v>600</v>
      </c>
      <c r="C286" s="8" t="s">
        <v>601</v>
      </c>
      <c r="D286" s="12">
        <v>500</v>
      </c>
      <c r="E286" s="12">
        <v>0</v>
      </c>
      <c r="F286" s="12">
        <v>0</v>
      </c>
      <c r="G286" s="12">
        <f t="shared" si="8"/>
        <v>0</v>
      </c>
      <c r="H286" s="12">
        <f t="shared" si="9"/>
        <v>500</v>
      </c>
      <c r="I286" s="8" t="s">
        <v>423</v>
      </c>
    </row>
    <row r="287" spans="2:9" x14ac:dyDescent="0.3">
      <c r="B287" s="8" t="s">
        <v>424</v>
      </c>
      <c r="C287" s="8" t="s">
        <v>425</v>
      </c>
      <c r="D287" s="12">
        <v>342.7</v>
      </c>
      <c r="E287" s="12">
        <v>0</v>
      </c>
      <c r="F287" s="12">
        <v>0</v>
      </c>
      <c r="G287" s="12">
        <f t="shared" si="8"/>
        <v>0</v>
      </c>
      <c r="H287" s="12">
        <f t="shared" si="9"/>
        <v>342.7</v>
      </c>
      <c r="I287" s="8" t="s">
        <v>423</v>
      </c>
    </row>
    <row r="288" spans="2:9" x14ac:dyDescent="0.3">
      <c r="B288" s="8" t="s">
        <v>426</v>
      </c>
      <c r="C288" s="8" t="s">
        <v>427</v>
      </c>
      <c r="D288" s="12">
        <v>7197.59</v>
      </c>
      <c r="E288" s="12">
        <v>6445.92</v>
      </c>
      <c r="F288" s="12">
        <v>3000</v>
      </c>
      <c r="G288" s="12">
        <f t="shared" si="8"/>
        <v>3445.92</v>
      </c>
      <c r="H288" s="12">
        <f t="shared" si="9"/>
        <v>10643.51</v>
      </c>
      <c r="I288" s="8" t="s">
        <v>423</v>
      </c>
    </row>
    <row r="289" spans="1:9" x14ac:dyDescent="0.3">
      <c r="B289" s="8" t="s">
        <v>428</v>
      </c>
      <c r="C289" s="8" t="s">
        <v>429</v>
      </c>
      <c r="D289" s="12">
        <v>2751.27</v>
      </c>
      <c r="E289" s="12">
        <v>999.47</v>
      </c>
      <c r="F289" s="12">
        <v>0</v>
      </c>
      <c r="G289" s="12">
        <f t="shared" si="8"/>
        <v>999.47</v>
      </c>
      <c r="H289" s="12">
        <f t="shared" si="9"/>
        <v>3750.74</v>
      </c>
      <c r="I289" s="8" t="s">
        <v>423</v>
      </c>
    </row>
    <row r="290" spans="1:9" x14ac:dyDescent="0.3">
      <c r="B290" s="15" t="s">
        <v>602</v>
      </c>
      <c r="C290" s="15" t="s">
        <v>603</v>
      </c>
      <c r="D290" s="16"/>
      <c r="E290" s="16"/>
      <c r="F290" s="16"/>
      <c r="G290" s="16"/>
      <c r="H290" s="16"/>
      <c r="I290" s="15"/>
    </row>
    <row r="291" spans="1:9" x14ac:dyDescent="0.3">
      <c r="B291" s="8" t="s">
        <v>604</v>
      </c>
      <c r="C291" s="8" t="s">
        <v>605</v>
      </c>
      <c r="D291" s="12">
        <v>4688</v>
      </c>
      <c r="E291" s="12">
        <v>0</v>
      </c>
      <c r="F291" s="12">
        <v>0</v>
      </c>
      <c r="G291" s="12">
        <f t="shared" si="8"/>
        <v>0</v>
      </c>
      <c r="H291" s="12">
        <f t="shared" si="9"/>
        <v>4688</v>
      </c>
      <c r="I291" s="8" t="s">
        <v>606</v>
      </c>
    </row>
    <row r="292" spans="1:9" x14ac:dyDescent="0.3">
      <c r="B292" s="15" t="s">
        <v>430</v>
      </c>
      <c r="C292" s="15" t="s">
        <v>431</v>
      </c>
      <c r="D292" s="16"/>
      <c r="E292" s="16"/>
      <c r="F292" s="16"/>
      <c r="G292" s="16"/>
      <c r="H292" s="16"/>
      <c r="I292" s="15"/>
    </row>
    <row r="293" spans="1:9" x14ac:dyDescent="0.3">
      <c r="B293" s="8" t="s">
        <v>432</v>
      </c>
      <c r="C293" s="8" t="s">
        <v>433</v>
      </c>
      <c r="D293" s="12">
        <v>4.6100000000000003</v>
      </c>
      <c r="E293" s="12">
        <v>1.42</v>
      </c>
      <c r="F293" s="12">
        <v>0.96</v>
      </c>
      <c r="G293" s="12">
        <f t="shared" si="8"/>
        <v>0.45999999999999996</v>
      </c>
      <c r="H293" s="12">
        <f t="shared" si="9"/>
        <v>5.07</v>
      </c>
      <c r="I293" s="8" t="s">
        <v>434</v>
      </c>
    </row>
    <row r="294" spans="1:9" x14ac:dyDescent="0.3">
      <c r="B294" s="8" t="s">
        <v>607</v>
      </c>
      <c r="C294" s="8" t="s">
        <v>608</v>
      </c>
      <c r="D294" s="12">
        <v>406.69</v>
      </c>
      <c r="E294" s="12">
        <v>0</v>
      </c>
      <c r="F294" s="12">
        <v>0</v>
      </c>
      <c r="G294" s="12">
        <f t="shared" si="8"/>
        <v>0</v>
      </c>
      <c r="H294" s="12">
        <f t="shared" si="9"/>
        <v>406.69</v>
      </c>
      <c r="I294" s="8" t="s">
        <v>434</v>
      </c>
    </row>
    <row r="295" spans="1:9" x14ac:dyDescent="0.3">
      <c r="B295" s="15" t="s">
        <v>435</v>
      </c>
      <c r="C295" s="15" t="s">
        <v>436</v>
      </c>
      <c r="D295" s="16"/>
      <c r="E295" s="16"/>
      <c r="F295" s="16"/>
      <c r="G295" s="16"/>
      <c r="H295" s="16"/>
      <c r="I295" s="15"/>
    </row>
    <row r="296" spans="1:9" x14ac:dyDescent="0.3">
      <c r="B296" s="8" t="s">
        <v>437</v>
      </c>
      <c r="C296" s="8" t="s">
        <v>438</v>
      </c>
      <c r="D296" s="12">
        <v>517.28</v>
      </c>
      <c r="E296" s="12">
        <v>252.41</v>
      </c>
      <c r="F296" s="12">
        <v>0</v>
      </c>
      <c r="G296" s="12">
        <f t="shared" si="8"/>
        <v>252.41</v>
      </c>
      <c r="H296" s="12">
        <f t="shared" si="9"/>
        <v>769.68999999999994</v>
      </c>
      <c r="I296" s="8" t="s">
        <v>439</v>
      </c>
    </row>
    <row r="297" spans="1:9" x14ac:dyDescent="0.3">
      <c r="B297" s="15" t="s">
        <v>440</v>
      </c>
      <c r="C297" s="15" t="s">
        <v>441</v>
      </c>
      <c r="D297" s="16">
        <f>SUM(D8:D296)</f>
        <v>9.7679730970412493E-10</v>
      </c>
      <c r="E297" s="16">
        <f t="shared" ref="E297:H297" si="10">SUM(E8:E296)</f>
        <v>11745800.460000003</v>
      </c>
      <c r="F297" s="16">
        <f t="shared" si="10"/>
        <v>11745800.460000001</v>
      </c>
      <c r="G297" s="16">
        <f t="shared" si="10"/>
        <v>-3.8312464312184602E-11</v>
      </c>
      <c r="H297" s="16">
        <f t="shared" si="10"/>
        <v>8.7959506345214322E-10</v>
      </c>
      <c r="I297" s="15"/>
    </row>
    <row r="298" spans="1:9" x14ac:dyDescent="0.3">
      <c r="B298" s="2"/>
      <c r="C298" s="2"/>
      <c r="D298" s="10"/>
      <c r="E298" s="10"/>
      <c r="F298" s="10"/>
      <c r="G298" s="10"/>
      <c r="H298" s="10"/>
      <c r="I298" s="2"/>
    </row>
    <row r="299" spans="1:9" ht="15" thickBot="1" x14ac:dyDescent="0.35">
      <c r="A299" s="1"/>
      <c r="B299" s="4"/>
      <c r="C299" s="4"/>
      <c r="D299" s="13"/>
      <c r="E299" s="13">
        <v>11745800.42</v>
      </c>
      <c r="F299" s="13">
        <v>11745800.42</v>
      </c>
      <c r="G299" s="13"/>
      <c r="H299" s="13"/>
      <c r="I299" s="4"/>
    </row>
    <row r="300" spans="1:9" x14ac:dyDescent="0.3">
      <c r="B300" s="2"/>
      <c r="C300" s="2"/>
      <c r="D300" s="10"/>
      <c r="E300" s="10">
        <f>E297-E299</f>
        <v>4.0000002831220627E-2</v>
      </c>
      <c r="F300" s="10">
        <f>F297-F299</f>
        <v>4.0000000968575478E-2</v>
      </c>
      <c r="G300" s="10"/>
      <c r="H300" s="10"/>
      <c r="I300" s="2"/>
    </row>
  </sheetData>
  <autoFilter ref="B7:I297" xr:uid="{0D2346C8-A8C4-4532-BF46-096B53A0A146}"/>
  <mergeCells count="3">
    <mergeCell ref="B1:I1"/>
    <mergeCell ref="B2:I2"/>
    <mergeCell ref="B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85E4-D2F1-4078-B36C-3619BA2C5281}">
  <dimension ref="A1:J314"/>
  <sheetViews>
    <sheetView showGridLines="0" workbookViewId="0">
      <selection activeCell="H300" sqref="H300"/>
    </sheetView>
  </sheetViews>
  <sheetFormatPr defaultRowHeight="14.4" x14ac:dyDescent="0.3"/>
  <cols>
    <col min="2" max="2" width="9.21875" bestFit="1" customWidth="1"/>
    <col min="3" max="3" width="59.77734375" bestFit="1" customWidth="1"/>
    <col min="4" max="4" width="15.21875" bestFit="1" customWidth="1"/>
    <col min="5" max="5" width="13.5546875" bestFit="1" customWidth="1"/>
    <col min="6" max="6" width="12.44140625" bestFit="1" customWidth="1"/>
    <col min="7" max="7" width="12.109375" bestFit="1" customWidth="1"/>
    <col min="8" max="8" width="14.109375" bestFit="1" customWidth="1"/>
    <col min="9" max="9" width="29.6640625" bestFit="1" customWidth="1"/>
  </cols>
  <sheetData>
    <row r="1" spans="2:10" x14ac:dyDescent="0.3">
      <c r="B1" s="18" t="s">
        <v>0</v>
      </c>
      <c r="C1" s="19"/>
      <c r="D1" s="19"/>
      <c r="E1" s="19"/>
      <c r="F1" s="19"/>
      <c r="G1" s="19"/>
      <c r="H1" s="19"/>
      <c r="I1" s="19"/>
    </row>
    <row r="2" spans="2:10" x14ac:dyDescent="0.3">
      <c r="B2" s="18" t="s">
        <v>644</v>
      </c>
      <c r="C2" s="18"/>
      <c r="D2" s="18"/>
      <c r="E2" s="18"/>
      <c r="F2" s="18"/>
      <c r="G2" s="18"/>
      <c r="H2" s="18"/>
      <c r="I2" s="18"/>
    </row>
    <row r="3" spans="2:10" x14ac:dyDescent="0.3">
      <c r="B3" s="18"/>
      <c r="C3" s="18"/>
      <c r="D3" s="18"/>
      <c r="E3" s="18"/>
      <c r="F3" s="18"/>
      <c r="G3" s="18"/>
      <c r="H3" s="18"/>
      <c r="I3" s="18"/>
    </row>
    <row r="4" spans="2:10" x14ac:dyDescent="0.3">
      <c r="B4" s="2"/>
      <c r="C4" s="2"/>
      <c r="D4" s="3"/>
      <c r="E4" s="3"/>
      <c r="F4" s="3"/>
      <c r="G4" s="3"/>
      <c r="H4" s="3"/>
      <c r="I4" s="2"/>
    </row>
    <row r="5" spans="2:10" x14ac:dyDescent="0.3">
      <c r="B5" s="2"/>
      <c r="C5" s="2"/>
      <c r="D5" s="3"/>
      <c r="E5" s="3"/>
      <c r="F5" s="3"/>
      <c r="G5" s="3"/>
      <c r="H5" s="3"/>
      <c r="I5" s="2"/>
    </row>
    <row r="6" spans="2:10" x14ac:dyDescent="0.3">
      <c r="B6" s="6" t="s">
        <v>2</v>
      </c>
      <c r="C6" s="6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6" t="s">
        <v>9</v>
      </c>
      <c r="J6" s="1"/>
    </row>
    <row r="7" spans="2:10" x14ac:dyDescent="0.3">
      <c r="B7" s="6"/>
      <c r="C7" s="6"/>
      <c r="D7" s="7"/>
      <c r="E7" s="7"/>
      <c r="F7" s="7"/>
      <c r="G7" s="7"/>
      <c r="H7" s="7"/>
      <c r="I7" s="6"/>
      <c r="J7" s="1"/>
    </row>
    <row r="8" spans="2:10" x14ac:dyDescent="0.3">
      <c r="B8" s="15" t="s">
        <v>10</v>
      </c>
      <c r="C8" s="15" t="s">
        <v>11</v>
      </c>
      <c r="D8" s="17"/>
      <c r="E8" s="17"/>
      <c r="F8" s="17"/>
      <c r="G8" s="17"/>
      <c r="H8" s="17"/>
      <c r="I8" s="15"/>
    </row>
    <row r="9" spans="2:10" x14ac:dyDescent="0.3">
      <c r="B9" s="8" t="s">
        <v>12</v>
      </c>
      <c r="C9" s="8" t="s">
        <v>13</v>
      </c>
      <c r="D9" s="9">
        <v>0</v>
      </c>
      <c r="E9" s="9">
        <v>0</v>
      </c>
      <c r="F9" s="9">
        <v>0</v>
      </c>
      <c r="G9" s="9">
        <f t="shared" ref="G9:G72" si="0">E9-F9</f>
        <v>0</v>
      </c>
      <c r="H9" s="9">
        <f t="shared" ref="H9:H72" si="1">D9+G9</f>
        <v>0</v>
      </c>
      <c r="I9" s="8" t="s">
        <v>14</v>
      </c>
    </row>
    <row r="10" spans="2:10" x14ac:dyDescent="0.3">
      <c r="B10" s="15" t="s">
        <v>15</v>
      </c>
      <c r="C10" s="15" t="s">
        <v>16</v>
      </c>
      <c r="D10" s="17"/>
      <c r="E10" s="17"/>
      <c r="F10" s="17"/>
      <c r="G10" s="17"/>
      <c r="H10" s="17"/>
      <c r="I10" s="15"/>
    </row>
    <row r="11" spans="2:10" x14ac:dyDescent="0.3">
      <c r="B11" s="15" t="s">
        <v>17</v>
      </c>
      <c r="C11" s="15" t="s">
        <v>18</v>
      </c>
      <c r="D11" s="17"/>
      <c r="E11" s="17"/>
      <c r="F11" s="17"/>
      <c r="G11" s="17"/>
      <c r="H11" s="17"/>
      <c r="I11" s="15"/>
    </row>
    <row r="12" spans="2:10" x14ac:dyDescent="0.3">
      <c r="B12" s="8" t="s">
        <v>19</v>
      </c>
      <c r="C12" s="8" t="s">
        <v>20</v>
      </c>
      <c r="D12" s="9">
        <v>11255.04</v>
      </c>
      <c r="E12" s="9">
        <v>369757</v>
      </c>
      <c r="F12" s="9">
        <v>364966</v>
      </c>
      <c r="G12" s="9">
        <f t="shared" si="0"/>
        <v>4791</v>
      </c>
      <c r="H12" s="9">
        <f t="shared" si="1"/>
        <v>16046.04</v>
      </c>
      <c r="I12" s="8" t="s">
        <v>21</v>
      </c>
    </row>
    <row r="13" spans="2:10" x14ac:dyDescent="0.3">
      <c r="B13" s="8" t="s">
        <v>22</v>
      </c>
      <c r="C13" s="8" t="s">
        <v>23</v>
      </c>
      <c r="D13" s="9">
        <v>0</v>
      </c>
      <c r="E13" s="9">
        <v>20404</v>
      </c>
      <c r="F13" s="9">
        <v>20404</v>
      </c>
      <c r="G13" s="9">
        <f t="shared" si="0"/>
        <v>0</v>
      </c>
      <c r="H13" s="9">
        <f t="shared" si="1"/>
        <v>0</v>
      </c>
      <c r="I13" s="8" t="s">
        <v>21</v>
      </c>
    </row>
    <row r="14" spans="2:10" x14ac:dyDescent="0.3">
      <c r="B14" s="8" t="s">
        <v>24</v>
      </c>
      <c r="C14" s="8" t="s">
        <v>25</v>
      </c>
      <c r="D14" s="9">
        <v>0</v>
      </c>
      <c r="E14" s="9">
        <v>344562.2</v>
      </c>
      <c r="F14" s="9">
        <v>344562.2</v>
      </c>
      <c r="G14" s="9">
        <f t="shared" si="0"/>
        <v>0</v>
      </c>
      <c r="H14" s="9">
        <f t="shared" si="1"/>
        <v>0</v>
      </c>
      <c r="I14" s="8" t="s">
        <v>21</v>
      </c>
    </row>
    <row r="15" spans="2:10" x14ac:dyDescent="0.3">
      <c r="B15" s="8" t="s">
        <v>26</v>
      </c>
      <c r="C15" s="8" t="s">
        <v>27</v>
      </c>
      <c r="D15" s="9">
        <v>0</v>
      </c>
      <c r="E15" s="9">
        <v>118000</v>
      </c>
      <c r="F15" s="9">
        <v>118000</v>
      </c>
      <c r="G15" s="9">
        <f t="shared" si="0"/>
        <v>0</v>
      </c>
      <c r="H15" s="9">
        <f t="shared" si="1"/>
        <v>0</v>
      </c>
      <c r="I15" s="8" t="s">
        <v>21</v>
      </c>
    </row>
    <row r="16" spans="2:10" x14ac:dyDescent="0.3">
      <c r="B16" s="15" t="s">
        <v>28</v>
      </c>
      <c r="C16" s="15" t="s">
        <v>29</v>
      </c>
      <c r="D16" s="17"/>
      <c r="E16" s="17"/>
      <c r="F16" s="17"/>
      <c r="G16" s="17"/>
      <c r="H16" s="17"/>
      <c r="I16" s="15"/>
    </row>
    <row r="17" spans="2:9" x14ac:dyDescent="0.3">
      <c r="B17" s="8" t="s">
        <v>645</v>
      </c>
      <c r="C17" s="8" t="s">
        <v>646</v>
      </c>
      <c r="D17" s="9">
        <v>0</v>
      </c>
      <c r="E17" s="9">
        <v>0</v>
      </c>
      <c r="F17" s="9">
        <v>6842.5</v>
      </c>
      <c r="G17" s="9">
        <f t="shared" si="0"/>
        <v>-6842.5</v>
      </c>
      <c r="H17" s="9">
        <f t="shared" si="1"/>
        <v>-6842.5</v>
      </c>
      <c r="I17" s="8" t="s">
        <v>32</v>
      </c>
    </row>
    <row r="18" spans="2:9" x14ac:dyDescent="0.3">
      <c r="B18" s="8" t="s">
        <v>30</v>
      </c>
      <c r="C18" s="8" t="s">
        <v>31</v>
      </c>
      <c r="D18" s="9">
        <v>82679.09</v>
      </c>
      <c r="E18" s="9">
        <v>1948715.91</v>
      </c>
      <c r="F18" s="9">
        <v>1995523.91</v>
      </c>
      <c r="G18" s="9">
        <f t="shared" si="0"/>
        <v>-46808</v>
      </c>
      <c r="H18" s="9">
        <f t="shared" si="1"/>
        <v>35871.089999999997</v>
      </c>
      <c r="I18" s="8" t="s">
        <v>32</v>
      </c>
    </row>
    <row r="19" spans="2:9" x14ac:dyDescent="0.3">
      <c r="B19" s="8" t="s">
        <v>443</v>
      </c>
      <c r="C19" s="8" t="s">
        <v>444</v>
      </c>
      <c r="D19" s="9">
        <v>100</v>
      </c>
      <c r="E19" s="9">
        <v>0</v>
      </c>
      <c r="F19" s="9">
        <v>0</v>
      </c>
      <c r="G19" s="9">
        <f t="shared" si="0"/>
        <v>0</v>
      </c>
      <c r="H19" s="9">
        <f t="shared" si="1"/>
        <v>100</v>
      </c>
      <c r="I19" s="8" t="s">
        <v>32</v>
      </c>
    </row>
    <row r="20" spans="2:9" x14ac:dyDescent="0.3">
      <c r="B20" s="15" t="s">
        <v>33</v>
      </c>
      <c r="C20" s="15" t="s">
        <v>34</v>
      </c>
      <c r="D20" s="17"/>
      <c r="E20" s="17"/>
      <c r="F20" s="17"/>
      <c r="G20" s="17"/>
      <c r="H20" s="17"/>
      <c r="I20" s="15"/>
    </row>
    <row r="21" spans="2:9" x14ac:dyDescent="0.3">
      <c r="B21" s="8" t="s">
        <v>35</v>
      </c>
      <c r="C21" s="8" t="s">
        <v>36</v>
      </c>
      <c r="D21" s="9">
        <v>0</v>
      </c>
      <c r="E21" s="9">
        <v>506034</v>
      </c>
      <c r="F21" s="9">
        <v>506034</v>
      </c>
      <c r="G21" s="9">
        <f t="shared" si="0"/>
        <v>0</v>
      </c>
      <c r="H21" s="9">
        <f t="shared" si="1"/>
        <v>0</v>
      </c>
      <c r="I21" s="8" t="s">
        <v>37</v>
      </c>
    </row>
    <row r="22" spans="2:9" x14ac:dyDescent="0.3">
      <c r="B22" s="15" t="s">
        <v>38</v>
      </c>
      <c r="C22" s="15" t="s">
        <v>39</v>
      </c>
      <c r="D22" s="17"/>
      <c r="E22" s="17"/>
      <c r="F22" s="17"/>
      <c r="G22" s="17"/>
      <c r="H22" s="17"/>
      <c r="I22" s="15"/>
    </row>
    <row r="23" spans="2:9" x14ac:dyDescent="0.3">
      <c r="B23" s="8" t="s">
        <v>40</v>
      </c>
      <c r="C23" s="8" t="s">
        <v>41</v>
      </c>
      <c r="D23" s="9">
        <v>12.6</v>
      </c>
      <c r="E23" s="9">
        <v>15765290.199999999</v>
      </c>
      <c r="F23" s="9">
        <v>15765250</v>
      </c>
      <c r="G23" s="9">
        <f t="shared" si="0"/>
        <v>40.199999999254942</v>
      </c>
      <c r="H23" s="9">
        <f t="shared" si="1"/>
        <v>52.799999999254943</v>
      </c>
      <c r="I23" s="8" t="s">
        <v>42</v>
      </c>
    </row>
    <row r="24" spans="2:9" x14ac:dyDescent="0.3">
      <c r="B24" s="8" t="s">
        <v>43</v>
      </c>
      <c r="C24" s="8" t="s">
        <v>44</v>
      </c>
      <c r="D24" s="9">
        <v>0</v>
      </c>
      <c r="E24" s="9">
        <v>2875</v>
      </c>
      <c r="F24" s="9">
        <v>2875</v>
      </c>
      <c r="G24" s="9">
        <f t="shared" si="0"/>
        <v>0</v>
      </c>
      <c r="H24" s="9">
        <f t="shared" si="1"/>
        <v>0</v>
      </c>
      <c r="I24" s="8" t="s">
        <v>42</v>
      </c>
    </row>
    <row r="25" spans="2:9" x14ac:dyDescent="0.3">
      <c r="B25" s="8" t="s">
        <v>45</v>
      </c>
      <c r="C25" s="8" t="s">
        <v>46</v>
      </c>
      <c r="D25" s="9">
        <v>-0.63</v>
      </c>
      <c r="E25" s="9">
        <v>3572.47</v>
      </c>
      <c r="F25" s="9">
        <v>3572</v>
      </c>
      <c r="G25" s="9">
        <f t="shared" si="0"/>
        <v>0.46999999999979991</v>
      </c>
      <c r="H25" s="9">
        <f t="shared" si="1"/>
        <v>-0.16000000000020009</v>
      </c>
      <c r="I25" s="8" t="s">
        <v>42</v>
      </c>
    </row>
    <row r="26" spans="2:9" x14ac:dyDescent="0.3">
      <c r="B26" s="8" t="s">
        <v>47</v>
      </c>
      <c r="C26" s="8" t="s">
        <v>48</v>
      </c>
      <c r="D26" s="9">
        <v>32406.05</v>
      </c>
      <c r="E26" s="9">
        <v>52854.2</v>
      </c>
      <c r="F26" s="9">
        <v>75763.8</v>
      </c>
      <c r="G26" s="9">
        <f t="shared" si="0"/>
        <v>-22909.600000000006</v>
      </c>
      <c r="H26" s="9">
        <f t="shared" si="1"/>
        <v>9496.4499999999935</v>
      </c>
      <c r="I26" s="8" t="s">
        <v>42</v>
      </c>
    </row>
    <row r="27" spans="2:9" x14ac:dyDescent="0.3">
      <c r="B27" s="8" t="s">
        <v>445</v>
      </c>
      <c r="C27" s="8" t="s">
        <v>446</v>
      </c>
      <c r="D27" s="9">
        <v>1998.98</v>
      </c>
      <c r="E27" s="9">
        <v>2100</v>
      </c>
      <c r="F27" s="9">
        <v>2100.08</v>
      </c>
      <c r="G27" s="9">
        <f t="shared" si="0"/>
        <v>-7.999999999992724E-2</v>
      </c>
      <c r="H27" s="9">
        <f t="shared" si="1"/>
        <v>1998.9</v>
      </c>
      <c r="I27" s="8" t="s">
        <v>42</v>
      </c>
    </row>
    <row r="28" spans="2:9" x14ac:dyDescent="0.3">
      <c r="B28" s="8" t="s">
        <v>49</v>
      </c>
      <c r="C28" s="8" t="s">
        <v>50</v>
      </c>
      <c r="D28" s="9">
        <v>7219.6</v>
      </c>
      <c r="E28" s="9">
        <v>1738.8</v>
      </c>
      <c r="F28" s="9">
        <v>4121.6000000000004</v>
      </c>
      <c r="G28" s="9">
        <f t="shared" si="0"/>
        <v>-2382.8000000000002</v>
      </c>
      <c r="H28" s="9">
        <f t="shared" si="1"/>
        <v>4836.8</v>
      </c>
      <c r="I28" s="8" t="s">
        <v>42</v>
      </c>
    </row>
    <row r="29" spans="2:9" x14ac:dyDescent="0.3">
      <c r="B29" s="8" t="s">
        <v>51</v>
      </c>
      <c r="C29" s="8" t="s">
        <v>52</v>
      </c>
      <c r="D29" s="9">
        <v>6631.45</v>
      </c>
      <c r="E29" s="9">
        <v>0</v>
      </c>
      <c r="F29" s="9">
        <v>0</v>
      </c>
      <c r="G29" s="9">
        <f t="shared" si="0"/>
        <v>0</v>
      </c>
      <c r="H29" s="9">
        <f t="shared" si="1"/>
        <v>6631.45</v>
      </c>
      <c r="I29" s="8" t="s">
        <v>42</v>
      </c>
    </row>
    <row r="30" spans="2:9" x14ac:dyDescent="0.3">
      <c r="B30" s="8" t="s">
        <v>53</v>
      </c>
      <c r="C30" s="8" t="s">
        <v>54</v>
      </c>
      <c r="D30" s="9">
        <v>9310.4500000000007</v>
      </c>
      <c r="E30" s="9">
        <v>0</v>
      </c>
      <c r="F30" s="9">
        <v>0</v>
      </c>
      <c r="G30" s="9">
        <f t="shared" si="0"/>
        <v>0</v>
      </c>
      <c r="H30" s="9">
        <f t="shared" si="1"/>
        <v>9310.4500000000007</v>
      </c>
      <c r="I30" s="8" t="s">
        <v>42</v>
      </c>
    </row>
    <row r="31" spans="2:9" x14ac:dyDescent="0.3">
      <c r="B31" s="8" t="s">
        <v>55</v>
      </c>
      <c r="C31" s="8" t="s">
        <v>56</v>
      </c>
      <c r="D31" s="9">
        <v>47587.05</v>
      </c>
      <c r="E31" s="9">
        <v>160636.6</v>
      </c>
      <c r="F31" s="9">
        <v>150000</v>
      </c>
      <c r="G31" s="9">
        <f t="shared" si="0"/>
        <v>10636.600000000006</v>
      </c>
      <c r="H31" s="9">
        <f t="shared" si="1"/>
        <v>58223.650000000009</v>
      </c>
      <c r="I31" s="8" t="s">
        <v>42</v>
      </c>
    </row>
    <row r="32" spans="2:9" x14ac:dyDescent="0.3">
      <c r="B32" s="8" t="s">
        <v>447</v>
      </c>
      <c r="C32" s="8" t="s">
        <v>448</v>
      </c>
      <c r="D32" s="9">
        <v>792.78</v>
      </c>
      <c r="E32" s="9">
        <v>0</v>
      </c>
      <c r="F32" s="9">
        <v>800</v>
      </c>
      <c r="G32" s="9">
        <f t="shared" si="0"/>
        <v>-800</v>
      </c>
      <c r="H32" s="9">
        <f t="shared" si="1"/>
        <v>-7.2200000000000273</v>
      </c>
      <c r="I32" s="8" t="s">
        <v>42</v>
      </c>
    </row>
    <row r="33" spans="2:9" x14ac:dyDescent="0.3">
      <c r="B33" s="8" t="s">
        <v>57</v>
      </c>
      <c r="C33" s="8" t="s">
        <v>58</v>
      </c>
      <c r="D33" s="9">
        <v>-6880</v>
      </c>
      <c r="E33" s="9">
        <v>0</v>
      </c>
      <c r="F33" s="9">
        <v>0</v>
      </c>
      <c r="G33" s="9">
        <f t="shared" si="0"/>
        <v>0</v>
      </c>
      <c r="H33" s="9">
        <f t="shared" si="1"/>
        <v>-6880</v>
      </c>
      <c r="I33" s="8" t="s">
        <v>42</v>
      </c>
    </row>
    <row r="34" spans="2:9" x14ac:dyDescent="0.3">
      <c r="B34" s="8" t="s">
        <v>449</v>
      </c>
      <c r="C34" s="8" t="s">
        <v>450</v>
      </c>
      <c r="D34" s="9">
        <v>-0.05</v>
      </c>
      <c r="E34" s="9">
        <v>0</v>
      </c>
      <c r="F34" s="9">
        <v>0</v>
      </c>
      <c r="G34" s="9">
        <f t="shared" si="0"/>
        <v>0</v>
      </c>
      <c r="H34" s="9">
        <f t="shared" si="1"/>
        <v>-0.05</v>
      </c>
      <c r="I34" s="8" t="s">
        <v>42</v>
      </c>
    </row>
    <row r="35" spans="2:9" x14ac:dyDescent="0.3">
      <c r="B35" s="8" t="s">
        <v>61</v>
      </c>
      <c r="C35" s="8" t="s">
        <v>62</v>
      </c>
      <c r="D35" s="9">
        <v>16.87</v>
      </c>
      <c r="E35" s="9">
        <v>100685.38</v>
      </c>
      <c r="F35" s="9">
        <v>100000</v>
      </c>
      <c r="G35" s="9">
        <f t="shared" si="0"/>
        <v>685.38000000000466</v>
      </c>
      <c r="H35" s="9">
        <f t="shared" si="1"/>
        <v>702.25000000000466</v>
      </c>
      <c r="I35" s="8" t="s">
        <v>42</v>
      </c>
    </row>
    <row r="36" spans="2:9" x14ac:dyDescent="0.3">
      <c r="B36" s="8" t="s">
        <v>647</v>
      </c>
      <c r="C36" s="8" t="s">
        <v>648</v>
      </c>
      <c r="D36" s="9">
        <v>0</v>
      </c>
      <c r="E36" s="9">
        <v>1232.8</v>
      </c>
      <c r="F36" s="9">
        <v>1233</v>
      </c>
      <c r="G36" s="9">
        <f t="shared" si="0"/>
        <v>-0.20000000000004547</v>
      </c>
      <c r="H36" s="9">
        <f t="shared" si="1"/>
        <v>-0.20000000000004547</v>
      </c>
      <c r="I36" s="8" t="s">
        <v>42</v>
      </c>
    </row>
    <row r="37" spans="2:9" x14ac:dyDescent="0.3">
      <c r="B37" s="8" t="s">
        <v>451</v>
      </c>
      <c r="C37" s="8" t="s">
        <v>452</v>
      </c>
      <c r="D37" s="9">
        <v>5890.58</v>
      </c>
      <c r="E37" s="9">
        <v>0</v>
      </c>
      <c r="F37" s="9">
        <v>0</v>
      </c>
      <c r="G37" s="9">
        <f t="shared" si="0"/>
        <v>0</v>
      </c>
      <c r="H37" s="9">
        <f t="shared" si="1"/>
        <v>5890.58</v>
      </c>
      <c r="I37" s="8" t="s">
        <v>42</v>
      </c>
    </row>
    <row r="38" spans="2:9" x14ac:dyDescent="0.3">
      <c r="B38" s="8" t="s">
        <v>453</v>
      </c>
      <c r="C38" s="8" t="s">
        <v>454</v>
      </c>
      <c r="D38" s="9">
        <v>251780.95</v>
      </c>
      <c r="E38" s="9">
        <v>0</v>
      </c>
      <c r="F38" s="9">
        <v>0</v>
      </c>
      <c r="G38" s="9">
        <f t="shared" si="0"/>
        <v>0</v>
      </c>
      <c r="H38" s="9">
        <f t="shared" si="1"/>
        <v>251780.95</v>
      </c>
      <c r="I38" s="8" t="s">
        <v>42</v>
      </c>
    </row>
    <row r="39" spans="2:9" x14ac:dyDescent="0.3">
      <c r="B39" s="8" t="s">
        <v>455</v>
      </c>
      <c r="C39" s="8" t="s">
        <v>456</v>
      </c>
      <c r="D39" s="9">
        <v>655.5</v>
      </c>
      <c r="E39" s="9">
        <v>1837.7</v>
      </c>
      <c r="F39" s="9">
        <v>2493.1999999999998</v>
      </c>
      <c r="G39" s="9">
        <f t="shared" si="0"/>
        <v>-655.49999999999977</v>
      </c>
      <c r="H39" s="9">
        <f t="shared" si="1"/>
        <v>0</v>
      </c>
      <c r="I39" s="8" t="s">
        <v>42</v>
      </c>
    </row>
    <row r="40" spans="2:9" x14ac:dyDescent="0.3">
      <c r="B40" s="8" t="s">
        <v>63</v>
      </c>
      <c r="C40" s="8" t="s">
        <v>64</v>
      </c>
      <c r="D40" s="9">
        <v>7193.37</v>
      </c>
      <c r="E40" s="9">
        <v>5090.47</v>
      </c>
      <c r="F40" s="9">
        <v>46657.35</v>
      </c>
      <c r="G40" s="9">
        <f t="shared" si="0"/>
        <v>-41566.879999999997</v>
      </c>
      <c r="H40" s="9">
        <f t="shared" si="1"/>
        <v>-34373.509999999995</v>
      </c>
      <c r="I40" s="8" t="s">
        <v>42</v>
      </c>
    </row>
    <row r="41" spans="2:9" x14ac:dyDescent="0.3">
      <c r="B41" s="8" t="s">
        <v>65</v>
      </c>
      <c r="C41" s="8" t="s">
        <v>66</v>
      </c>
      <c r="D41" s="9">
        <v>34000.1</v>
      </c>
      <c r="E41" s="9">
        <v>0</v>
      </c>
      <c r="F41" s="9">
        <v>6160</v>
      </c>
      <c r="G41" s="9">
        <f t="shared" si="0"/>
        <v>-6160</v>
      </c>
      <c r="H41" s="9">
        <f t="shared" si="1"/>
        <v>27840.1</v>
      </c>
      <c r="I41" s="8" t="s">
        <v>42</v>
      </c>
    </row>
    <row r="42" spans="2:9" x14ac:dyDescent="0.3">
      <c r="B42" s="8" t="s">
        <v>457</v>
      </c>
      <c r="C42" s="8" t="s">
        <v>458</v>
      </c>
      <c r="D42" s="9">
        <v>0.75</v>
      </c>
      <c r="E42" s="9">
        <v>0</v>
      </c>
      <c r="F42" s="9">
        <v>0</v>
      </c>
      <c r="G42" s="9">
        <f t="shared" si="0"/>
        <v>0</v>
      </c>
      <c r="H42" s="9">
        <f t="shared" si="1"/>
        <v>0.75</v>
      </c>
      <c r="I42" s="8" t="s">
        <v>42</v>
      </c>
    </row>
    <row r="43" spans="2:9" x14ac:dyDescent="0.3">
      <c r="B43" s="8" t="s">
        <v>67</v>
      </c>
      <c r="C43" s="8" t="s">
        <v>68</v>
      </c>
      <c r="D43" s="9">
        <v>311574.94</v>
      </c>
      <c r="E43" s="9">
        <v>27250</v>
      </c>
      <c r="F43" s="9">
        <v>262590</v>
      </c>
      <c r="G43" s="9">
        <f t="shared" si="0"/>
        <v>-235340</v>
      </c>
      <c r="H43" s="9">
        <f t="shared" si="1"/>
        <v>76234.94</v>
      </c>
      <c r="I43" s="8" t="s">
        <v>42</v>
      </c>
    </row>
    <row r="44" spans="2:9" x14ac:dyDescent="0.3">
      <c r="B44" s="8" t="s">
        <v>69</v>
      </c>
      <c r="C44" s="8" t="s">
        <v>70</v>
      </c>
      <c r="D44" s="9">
        <v>2.9</v>
      </c>
      <c r="E44" s="9">
        <v>0</v>
      </c>
      <c r="F44" s="9">
        <v>0</v>
      </c>
      <c r="G44" s="9">
        <f t="shared" si="0"/>
        <v>0</v>
      </c>
      <c r="H44" s="9">
        <f t="shared" si="1"/>
        <v>2.9</v>
      </c>
      <c r="I44" s="8" t="s">
        <v>42</v>
      </c>
    </row>
    <row r="45" spans="2:9" x14ac:dyDescent="0.3">
      <c r="B45" s="8" t="s">
        <v>71</v>
      </c>
      <c r="C45" s="8" t="s">
        <v>72</v>
      </c>
      <c r="D45" s="9">
        <v>-0.23</v>
      </c>
      <c r="E45" s="9">
        <v>8470.56</v>
      </c>
      <c r="F45" s="9">
        <v>8470</v>
      </c>
      <c r="G45" s="9">
        <f t="shared" si="0"/>
        <v>0.55999999999949068</v>
      </c>
      <c r="H45" s="9">
        <f t="shared" si="1"/>
        <v>0.3299999999994907</v>
      </c>
      <c r="I45" s="8" t="s">
        <v>42</v>
      </c>
    </row>
    <row r="46" spans="2:9" x14ac:dyDescent="0.3">
      <c r="B46" s="8" t="s">
        <v>73</v>
      </c>
      <c r="C46" s="8" t="s">
        <v>74</v>
      </c>
      <c r="D46" s="9">
        <v>32458.25</v>
      </c>
      <c r="E46" s="9">
        <v>51198</v>
      </c>
      <c r="F46" s="9">
        <v>83656.75</v>
      </c>
      <c r="G46" s="9">
        <f t="shared" si="0"/>
        <v>-32458.75</v>
      </c>
      <c r="H46" s="9">
        <f t="shared" si="1"/>
        <v>-0.5</v>
      </c>
      <c r="I46" s="8" t="s">
        <v>42</v>
      </c>
    </row>
    <row r="47" spans="2:9" x14ac:dyDescent="0.3">
      <c r="B47" s="8" t="s">
        <v>75</v>
      </c>
      <c r="C47" s="8" t="s">
        <v>76</v>
      </c>
      <c r="D47" s="9">
        <v>17015.009999999998</v>
      </c>
      <c r="E47" s="9">
        <v>23455.4</v>
      </c>
      <c r="F47" s="9">
        <v>23450</v>
      </c>
      <c r="G47" s="9">
        <f t="shared" si="0"/>
        <v>5.4000000000014552</v>
      </c>
      <c r="H47" s="9">
        <f t="shared" si="1"/>
        <v>17020.41</v>
      </c>
      <c r="I47" s="8" t="s">
        <v>42</v>
      </c>
    </row>
    <row r="48" spans="2:9" x14ac:dyDescent="0.3">
      <c r="B48" s="8" t="s">
        <v>77</v>
      </c>
      <c r="C48" s="8" t="s">
        <v>78</v>
      </c>
      <c r="D48" s="9">
        <v>0</v>
      </c>
      <c r="E48" s="9">
        <v>18952</v>
      </c>
      <c r="F48" s="9">
        <v>18952</v>
      </c>
      <c r="G48" s="9">
        <f t="shared" si="0"/>
        <v>0</v>
      </c>
      <c r="H48" s="9">
        <f t="shared" si="1"/>
        <v>0</v>
      </c>
      <c r="I48" s="8" t="s">
        <v>42</v>
      </c>
    </row>
    <row r="49" spans="2:9" x14ac:dyDescent="0.3">
      <c r="B49" s="8" t="s">
        <v>79</v>
      </c>
      <c r="C49" s="8" t="s">
        <v>80</v>
      </c>
      <c r="D49" s="9">
        <v>-64.599999999999994</v>
      </c>
      <c r="E49" s="9">
        <v>0</v>
      </c>
      <c r="F49" s="9">
        <v>0</v>
      </c>
      <c r="G49" s="9">
        <f t="shared" si="0"/>
        <v>0</v>
      </c>
      <c r="H49" s="9">
        <f t="shared" si="1"/>
        <v>-64.599999999999994</v>
      </c>
      <c r="I49" s="8" t="s">
        <v>42</v>
      </c>
    </row>
    <row r="50" spans="2:9" x14ac:dyDescent="0.3">
      <c r="B50" s="8" t="s">
        <v>81</v>
      </c>
      <c r="C50" s="8" t="s">
        <v>82</v>
      </c>
      <c r="D50" s="9">
        <v>4243.5</v>
      </c>
      <c r="E50" s="9">
        <v>13386</v>
      </c>
      <c r="F50" s="9">
        <v>10000</v>
      </c>
      <c r="G50" s="9">
        <f t="shared" si="0"/>
        <v>3386</v>
      </c>
      <c r="H50" s="9">
        <f t="shared" si="1"/>
        <v>7629.5</v>
      </c>
      <c r="I50" s="8" t="s">
        <v>42</v>
      </c>
    </row>
    <row r="51" spans="2:9" x14ac:dyDescent="0.3">
      <c r="B51" s="8" t="s">
        <v>83</v>
      </c>
      <c r="C51" s="8" t="s">
        <v>84</v>
      </c>
      <c r="D51" s="9">
        <v>93927.73</v>
      </c>
      <c r="E51" s="9">
        <v>32852.050000000003</v>
      </c>
      <c r="F51" s="9">
        <v>8050</v>
      </c>
      <c r="G51" s="9">
        <f t="shared" si="0"/>
        <v>24802.050000000003</v>
      </c>
      <c r="H51" s="9">
        <f t="shared" si="1"/>
        <v>118729.78</v>
      </c>
      <c r="I51" s="8" t="s">
        <v>42</v>
      </c>
    </row>
    <row r="52" spans="2:9" x14ac:dyDescent="0.3">
      <c r="B52" s="8" t="s">
        <v>85</v>
      </c>
      <c r="C52" s="8" t="s">
        <v>86</v>
      </c>
      <c r="D52" s="9">
        <v>67992.89</v>
      </c>
      <c r="E52" s="9">
        <v>48741.599999999999</v>
      </c>
      <c r="F52" s="9">
        <v>93896.98</v>
      </c>
      <c r="G52" s="9">
        <f t="shared" si="0"/>
        <v>-45155.38</v>
      </c>
      <c r="H52" s="9">
        <f t="shared" si="1"/>
        <v>22837.510000000002</v>
      </c>
      <c r="I52" s="8" t="s">
        <v>42</v>
      </c>
    </row>
    <row r="53" spans="2:9" x14ac:dyDescent="0.3">
      <c r="B53" s="8" t="s">
        <v>87</v>
      </c>
      <c r="C53" s="8" t="s">
        <v>88</v>
      </c>
      <c r="D53" s="9">
        <v>0.68</v>
      </c>
      <c r="E53" s="9">
        <v>0</v>
      </c>
      <c r="F53" s="9">
        <v>0</v>
      </c>
      <c r="G53" s="9">
        <f t="shared" si="0"/>
        <v>0</v>
      </c>
      <c r="H53" s="9">
        <f t="shared" si="1"/>
        <v>0.68</v>
      </c>
      <c r="I53" s="8" t="s">
        <v>42</v>
      </c>
    </row>
    <row r="54" spans="2:9" x14ac:dyDescent="0.3">
      <c r="B54" s="8" t="s">
        <v>610</v>
      </c>
      <c r="C54" s="8" t="s">
        <v>611</v>
      </c>
      <c r="D54" s="9">
        <v>2398.9</v>
      </c>
      <c r="E54" s="9">
        <v>0</v>
      </c>
      <c r="F54" s="9">
        <v>2400</v>
      </c>
      <c r="G54" s="9">
        <f t="shared" si="0"/>
        <v>-2400</v>
      </c>
      <c r="H54" s="9">
        <f t="shared" si="1"/>
        <v>-1.0999999999999091</v>
      </c>
      <c r="I54" s="8" t="s">
        <v>42</v>
      </c>
    </row>
    <row r="55" spans="2:9" x14ac:dyDescent="0.3">
      <c r="B55" s="8" t="s">
        <v>89</v>
      </c>
      <c r="C55" s="8" t="s">
        <v>90</v>
      </c>
      <c r="D55" s="9">
        <v>47955.6</v>
      </c>
      <c r="E55" s="9">
        <v>376611.2</v>
      </c>
      <c r="F55" s="9">
        <v>364896.5</v>
      </c>
      <c r="G55" s="9">
        <f t="shared" si="0"/>
        <v>11714.700000000012</v>
      </c>
      <c r="H55" s="9">
        <f t="shared" si="1"/>
        <v>59670.30000000001</v>
      </c>
      <c r="I55" s="8" t="s">
        <v>42</v>
      </c>
    </row>
    <row r="56" spans="2:9" x14ac:dyDescent="0.3">
      <c r="B56" s="8" t="s">
        <v>91</v>
      </c>
      <c r="C56" s="8" t="s">
        <v>92</v>
      </c>
      <c r="D56" s="9">
        <v>9052.7999999999993</v>
      </c>
      <c r="E56" s="9">
        <v>18515</v>
      </c>
      <c r="F56" s="9">
        <v>27569.8</v>
      </c>
      <c r="G56" s="9">
        <f t="shared" si="0"/>
        <v>-9054.7999999999993</v>
      </c>
      <c r="H56" s="9">
        <f t="shared" si="1"/>
        <v>-2</v>
      </c>
      <c r="I56" s="8" t="s">
        <v>42</v>
      </c>
    </row>
    <row r="57" spans="2:9" x14ac:dyDescent="0.3">
      <c r="B57" s="8" t="s">
        <v>93</v>
      </c>
      <c r="C57" s="8" t="s">
        <v>94</v>
      </c>
      <c r="D57" s="9">
        <v>9140.23</v>
      </c>
      <c r="E57" s="9">
        <v>84088</v>
      </c>
      <c r="F57" s="9">
        <v>79140.23</v>
      </c>
      <c r="G57" s="9">
        <f t="shared" si="0"/>
        <v>4947.7700000000041</v>
      </c>
      <c r="H57" s="9">
        <f t="shared" si="1"/>
        <v>14088.000000000004</v>
      </c>
      <c r="I57" s="8" t="s">
        <v>42</v>
      </c>
    </row>
    <row r="58" spans="2:9" x14ac:dyDescent="0.3">
      <c r="B58" s="8" t="s">
        <v>97</v>
      </c>
      <c r="C58" s="8" t="s">
        <v>98</v>
      </c>
      <c r="D58" s="9">
        <v>56756.07</v>
      </c>
      <c r="E58" s="9">
        <v>46763.6</v>
      </c>
      <c r="F58" s="9">
        <v>81756</v>
      </c>
      <c r="G58" s="9">
        <f t="shared" si="0"/>
        <v>-34992.400000000001</v>
      </c>
      <c r="H58" s="9">
        <f t="shared" si="1"/>
        <v>21763.67</v>
      </c>
      <c r="I58" s="8" t="s">
        <v>42</v>
      </c>
    </row>
    <row r="59" spans="2:9" x14ac:dyDescent="0.3">
      <c r="B59" s="8" t="s">
        <v>649</v>
      </c>
      <c r="C59" s="8" t="s">
        <v>650</v>
      </c>
      <c r="D59" s="9">
        <v>0</v>
      </c>
      <c r="E59" s="9">
        <v>45245.599999999999</v>
      </c>
      <c r="F59" s="9">
        <v>45245</v>
      </c>
      <c r="G59" s="9">
        <f t="shared" si="0"/>
        <v>0.59999999999854481</v>
      </c>
      <c r="H59" s="9">
        <f t="shared" si="1"/>
        <v>0.59999999999854481</v>
      </c>
      <c r="I59" s="8" t="s">
        <v>42</v>
      </c>
    </row>
    <row r="60" spans="2:9" x14ac:dyDescent="0.3">
      <c r="B60" s="8" t="s">
        <v>459</v>
      </c>
      <c r="C60" s="8" t="s">
        <v>460</v>
      </c>
      <c r="D60" s="9">
        <v>7232.93</v>
      </c>
      <c r="E60" s="9">
        <v>0</v>
      </c>
      <c r="F60" s="9">
        <v>7230</v>
      </c>
      <c r="G60" s="9">
        <f t="shared" si="0"/>
        <v>-7230</v>
      </c>
      <c r="H60" s="9">
        <f t="shared" si="1"/>
        <v>2.930000000000291</v>
      </c>
      <c r="I60" s="8" t="s">
        <v>42</v>
      </c>
    </row>
    <row r="61" spans="2:9" x14ac:dyDescent="0.3">
      <c r="B61" s="8" t="s">
        <v>99</v>
      </c>
      <c r="C61" s="8" t="s">
        <v>100</v>
      </c>
      <c r="D61" s="9">
        <v>42266.43</v>
      </c>
      <c r="E61" s="9">
        <v>111794.95</v>
      </c>
      <c r="F61" s="9">
        <v>136705.5</v>
      </c>
      <c r="G61" s="9">
        <f t="shared" si="0"/>
        <v>-24910.550000000003</v>
      </c>
      <c r="H61" s="9">
        <f t="shared" si="1"/>
        <v>17355.879999999997</v>
      </c>
      <c r="I61" s="8" t="s">
        <v>42</v>
      </c>
    </row>
    <row r="62" spans="2:9" x14ac:dyDescent="0.3">
      <c r="B62" s="8" t="s">
        <v>461</v>
      </c>
      <c r="C62" s="8" t="s">
        <v>462</v>
      </c>
      <c r="D62" s="9">
        <v>8589.85</v>
      </c>
      <c r="E62" s="9">
        <v>1725</v>
      </c>
      <c r="F62" s="9">
        <v>8000</v>
      </c>
      <c r="G62" s="9">
        <f t="shared" si="0"/>
        <v>-6275</v>
      </c>
      <c r="H62" s="9">
        <f t="shared" si="1"/>
        <v>2314.8500000000004</v>
      </c>
      <c r="I62" s="8" t="s">
        <v>42</v>
      </c>
    </row>
    <row r="63" spans="2:9" x14ac:dyDescent="0.3">
      <c r="B63" s="8" t="s">
        <v>103</v>
      </c>
      <c r="C63" s="8" t="s">
        <v>104</v>
      </c>
      <c r="D63" s="9">
        <v>30190.21</v>
      </c>
      <c r="E63" s="9">
        <v>17039.13</v>
      </c>
      <c r="F63" s="9">
        <v>5463.89</v>
      </c>
      <c r="G63" s="9">
        <f t="shared" si="0"/>
        <v>11575.240000000002</v>
      </c>
      <c r="H63" s="9">
        <f t="shared" si="1"/>
        <v>41765.449999999997</v>
      </c>
      <c r="I63" s="8" t="s">
        <v>42</v>
      </c>
    </row>
    <row r="64" spans="2:9" x14ac:dyDescent="0.3">
      <c r="B64" s="8" t="s">
        <v>105</v>
      </c>
      <c r="C64" s="8" t="s">
        <v>106</v>
      </c>
      <c r="D64" s="9">
        <v>0.1</v>
      </c>
      <c r="E64" s="9">
        <v>2898</v>
      </c>
      <c r="F64" s="9">
        <v>2898</v>
      </c>
      <c r="G64" s="9">
        <f t="shared" si="0"/>
        <v>0</v>
      </c>
      <c r="H64" s="9">
        <f t="shared" si="1"/>
        <v>0.1</v>
      </c>
      <c r="I64" s="8" t="s">
        <v>42</v>
      </c>
    </row>
    <row r="65" spans="2:9" x14ac:dyDescent="0.3">
      <c r="B65" s="8" t="s">
        <v>612</v>
      </c>
      <c r="C65" s="8" t="s">
        <v>613</v>
      </c>
      <c r="D65" s="9">
        <v>865.38</v>
      </c>
      <c r="E65" s="9">
        <v>300</v>
      </c>
      <c r="F65" s="9">
        <v>0</v>
      </c>
      <c r="G65" s="9">
        <f t="shared" si="0"/>
        <v>300</v>
      </c>
      <c r="H65" s="9">
        <f t="shared" si="1"/>
        <v>1165.3800000000001</v>
      </c>
      <c r="I65" s="8" t="s">
        <v>42</v>
      </c>
    </row>
    <row r="66" spans="2:9" x14ac:dyDescent="0.3">
      <c r="B66" s="8" t="s">
        <v>107</v>
      </c>
      <c r="C66" s="8" t="s">
        <v>108</v>
      </c>
      <c r="D66" s="9">
        <v>0.6</v>
      </c>
      <c r="E66" s="9">
        <v>7010.4</v>
      </c>
      <c r="F66" s="9">
        <v>7010</v>
      </c>
      <c r="G66" s="9">
        <f t="shared" si="0"/>
        <v>0.3999999999996362</v>
      </c>
      <c r="H66" s="9">
        <f t="shared" si="1"/>
        <v>0.99999999999963618</v>
      </c>
      <c r="I66" s="8" t="s">
        <v>42</v>
      </c>
    </row>
    <row r="67" spans="2:9" x14ac:dyDescent="0.3">
      <c r="B67" s="8" t="s">
        <v>109</v>
      </c>
      <c r="C67" s="8" t="s">
        <v>110</v>
      </c>
      <c r="D67" s="9">
        <v>1028.0999999999999</v>
      </c>
      <c r="E67" s="9">
        <v>0</v>
      </c>
      <c r="F67" s="9">
        <v>1775</v>
      </c>
      <c r="G67" s="9">
        <f t="shared" si="0"/>
        <v>-1775</v>
      </c>
      <c r="H67" s="9">
        <f t="shared" si="1"/>
        <v>-746.90000000000009</v>
      </c>
      <c r="I67" s="8" t="s">
        <v>42</v>
      </c>
    </row>
    <row r="68" spans="2:9" x14ac:dyDescent="0.3">
      <c r="B68" s="8" t="s">
        <v>111</v>
      </c>
      <c r="C68" s="8" t="s">
        <v>112</v>
      </c>
      <c r="D68" s="9">
        <v>-601072.68999999994</v>
      </c>
      <c r="E68" s="9">
        <v>46775</v>
      </c>
      <c r="F68" s="9">
        <v>11505.52</v>
      </c>
      <c r="G68" s="9">
        <f t="shared" si="0"/>
        <v>35269.479999999996</v>
      </c>
      <c r="H68" s="9">
        <f t="shared" si="1"/>
        <v>-565803.21</v>
      </c>
      <c r="I68" s="8" t="s">
        <v>42</v>
      </c>
    </row>
    <row r="69" spans="2:9" x14ac:dyDescent="0.3">
      <c r="B69" s="8" t="s">
        <v>113</v>
      </c>
      <c r="C69" s="8" t="s">
        <v>114</v>
      </c>
      <c r="D69" s="9">
        <v>16214.5</v>
      </c>
      <c r="E69" s="9">
        <v>27939.25</v>
      </c>
      <c r="F69" s="9">
        <v>28666.05</v>
      </c>
      <c r="G69" s="9">
        <f t="shared" si="0"/>
        <v>-726.79999999999927</v>
      </c>
      <c r="H69" s="9">
        <f t="shared" si="1"/>
        <v>15487.7</v>
      </c>
      <c r="I69" s="8" t="s">
        <v>42</v>
      </c>
    </row>
    <row r="70" spans="2:9" x14ac:dyDescent="0.3">
      <c r="B70" s="8" t="s">
        <v>614</v>
      </c>
      <c r="C70" s="8" t="s">
        <v>615</v>
      </c>
      <c r="D70" s="9">
        <v>4326.3</v>
      </c>
      <c r="E70" s="9">
        <v>0</v>
      </c>
      <c r="F70" s="9">
        <v>0</v>
      </c>
      <c r="G70" s="9">
        <f t="shared" si="0"/>
        <v>0</v>
      </c>
      <c r="H70" s="9">
        <f t="shared" si="1"/>
        <v>4326.3</v>
      </c>
      <c r="I70" s="8" t="s">
        <v>42</v>
      </c>
    </row>
    <row r="71" spans="2:9" x14ac:dyDescent="0.3">
      <c r="B71" s="8" t="s">
        <v>616</v>
      </c>
      <c r="C71" s="8" t="s">
        <v>617</v>
      </c>
      <c r="D71" s="9">
        <v>187158.24</v>
      </c>
      <c r="E71" s="9">
        <v>209236.36</v>
      </c>
      <c r="F71" s="9">
        <v>0</v>
      </c>
      <c r="G71" s="9">
        <f t="shared" si="0"/>
        <v>209236.36</v>
      </c>
      <c r="H71" s="9">
        <f t="shared" si="1"/>
        <v>396394.6</v>
      </c>
      <c r="I71" s="8" t="s">
        <v>42</v>
      </c>
    </row>
    <row r="72" spans="2:9" x14ac:dyDescent="0.3">
      <c r="B72" s="8" t="s">
        <v>465</v>
      </c>
      <c r="C72" s="8" t="s">
        <v>466</v>
      </c>
      <c r="D72" s="9">
        <v>3742.5</v>
      </c>
      <c r="E72" s="9">
        <v>51175</v>
      </c>
      <c r="F72" s="9">
        <v>52181</v>
      </c>
      <c r="G72" s="9">
        <f t="shared" si="0"/>
        <v>-1006</v>
      </c>
      <c r="H72" s="9">
        <f t="shared" si="1"/>
        <v>2736.5</v>
      </c>
      <c r="I72" s="8" t="s">
        <v>42</v>
      </c>
    </row>
    <row r="73" spans="2:9" x14ac:dyDescent="0.3">
      <c r="B73" s="8" t="s">
        <v>651</v>
      </c>
      <c r="C73" s="8" t="s">
        <v>652</v>
      </c>
      <c r="D73" s="9">
        <v>0</v>
      </c>
      <c r="E73" s="9">
        <v>5345.2</v>
      </c>
      <c r="F73" s="9">
        <v>0</v>
      </c>
      <c r="G73" s="9">
        <f t="shared" ref="G73:G136" si="2">E73-F73</f>
        <v>5345.2</v>
      </c>
      <c r="H73" s="9">
        <f t="shared" ref="H73:H136" si="3">D73+G73</f>
        <v>5345.2</v>
      </c>
      <c r="I73" s="8" t="s">
        <v>42</v>
      </c>
    </row>
    <row r="74" spans="2:9" x14ac:dyDescent="0.3">
      <c r="B74" s="8" t="s">
        <v>653</v>
      </c>
      <c r="C74" s="8" t="s">
        <v>654</v>
      </c>
      <c r="D74" s="9">
        <v>0</v>
      </c>
      <c r="E74" s="9">
        <v>16560</v>
      </c>
      <c r="F74" s="9">
        <v>16560</v>
      </c>
      <c r="G74" s="9">
        <f t="shared" si="2"/>
        <v>0</v>
      </c>
      <c r="H74" s="9">
        <f t="shared" si="3"/>
        <v>0</v>
      </c>
      <c r="I74" s="8" t="s">
        <v>42</v>
      </c>
    </row>
    <row r="75" spans="2:9" x14ac:dyDescent="0.3">
      <c r="B75" s="8" t="s">
        <v>655</v>
      </c>
      <c r="C75" s="8" t="s">
        <v>656</v>
      </c>
      <c r="D75" s="9">
        <v>0</v>
      </c>
      <c r="E75" s="9">
        <v>648.6</v>
      </c>
      <c r="F75" s="9">
        <v>648</v>
      </c>
      <c r="G75" s="9">
        <f t="shared" si="2"/>
        <v>0.60000000000002274</v>
      </c>
      <c r="H75" s="9">
        <f t="shared" si="3"/>
        <v>0.60000000000002274</v>
      </c>
      <c r="I75" s="8" t="s">
        <v>42</v>
      </c>
    </row>
    <row r="76" spans="2:9" x14ac:dyDescent="0.3">
      <c r="B76" s="8" t="s">
        <v>657</v>
      </c>
      <c r="C76" s="8" t="s">
        <v>658</v>
      </c>
      <c r="D76" s="9">
        <v>0</v>
      </c>
      <c r="E76" s="9">
        <v>96600</v>
      </c>
      <c r="F76" s="9">
        <v>96600</v>
      </c>
      <c r="G76" s="9">
        <f t="shared" si="2"/>
        <v>0</v>
      </c>
      <c r="H76" s="9">
        <f t="shared" si="3"/>
        <v>0</v>
      </c>
      <c r="I76" s="8" t="s">
        <v>42</v>
      </c>
    </row>
    <row r="77" spans="2:9" x14ac:dyDescent="0.3">
      <c r="B77" s="15" t="s">
        <v>115</v>
      </c>
      <c r="C77" s="15" t="s">
        <v>116</v>
      </c>
      <c r="D77" s="17"/>
      <c r="E77" s="17"/>
      <c r="F77" s="17"/>
      <c r="G77" s="17"/>
      <c r="H77" s="17"/>
      <c r="I77" s="15"/>
    </row>
    <row r="78" spans="2:9" x14ac:dyDescent="0.3">
      <c r="B78" s="8" t="s">
        <v>117</v>
      </c>
      <c r="C78" s="8" t="s">
        <v>118</v>
      </c>
      <c r="D78" s="9">
        <v>0</v>
      </c>
      <c r="E78" s="9">
        <v>234924.15</v>
      </c>
      <c r="F78" s="9">
        <v>234924.15</v>
      </c>
      <c r="G78" s="9">
        <f t="shared" si="2"/>
        <v>0</v>
      </c>
      <c r="H78" s="9">
        <f t="shared" si="3"/>
        <v>0</v>
      </c>
      <c r="I78" s="8" t="s">
        <v>119</v>
      </c>
    </row>
    <row r="79" spans="2:9" x14ac:dyDescent="0.3">
      <c r="B79" s="8" t="s">
        <v>120</v>
      </c>
      <c r="C79" s="8" t="s">
        <v>121</v>
      </c>
      <c r="D79" s="9">
        <v>0.02</v>
      </c>
      <c r="E79" s="9">
        <v>2268473.5299999998</v>
      </c>
      <c r="F79" s="9">
        <v>2268473.5299999998</v>
      </c>
      <c r="G79" s="9">
        <f t="shared" si="2"/>
        <v>0</v>
      </c>
      <c r="H79" s="9">
        <f t="shared" si="3"/>
        <v>0.02</v>
      </c>
      <c r="I79" s="8" t="s">
        <v>119</v>
      </c>
    </row>
    <row r="80" spans="2:9" x14ac:dyDescent="0.3">
      <c r="B80" s="8" t="s">
        <v>122</v>
      </c>
      <c r="C80" s="8" t="s">
        <v>123</v>
      </c>
      <c r="D80" s="9">
        <v>15500.42</v>
      </c>
      <c r="E80" s="9">
        <v>0</v>
      </c>
      <c r="F80" s="9">
        <v>13349.38</v>
      </c>
      <c r="G80" s="9">
        <f t="shared" si="2"/>
        <v>-13349.38</v>
      </c>
      <c r="H80" s="9">
        <f t="shared" si="3"/>
        <v>2151.0400000000009</v>
      </c>
      <c r="I80" s="8" t="s">
        <v>119</v>
      </c>
    </row>
    <row r="81" spans="2:9" x14ac:dyDescent="0.3">
      <c r="B81" s="8" t="s">
        <v>124</v>
      </c>
      <c r="C81" s="8" t="s">
        <v>125</v>
      </c>
      <c r="D81" s="9">
        <v>395.41</v>
      </c>
      <c r="E81" s="9">
        <v>0</v>
      </c>
      <c r="F81" s="9">
        <v>0</v>
      </c>
      <c r="G81" s="9">
        <f t="shared" si="2"/>
        <v>0</v>
      </c>
      <c r="H81" s="9">
        <f t="shared" si="3"/>
        <v>395.41</v>
      </c>
      <c r="I81" s="8" t="s">
        <v>119</v>
      </c>
    </row>
    <row r="82" spans="2:9" x14ac:dyDescent="0.3">
      <c r="B82" s="15" t="s">
        <v>126</v>
      </c>
      <c r="C82" s="15" t="s">
        <v>127</v>
      </c>
      <c r="D82" s="17"/>
      <c r="E82" s="17"/>
      <c r="F82" s="17"/>
      <c r="G82" s="17"/>
      <c r="H82" s="17"/>
      <c r="I82" s="15"/>
    </row>
    <row r="83" spans="2:9" x14ac:dyDescent="0.3">
      <c r="B83" s="8" t="s">
        <v>128</v>
      </c>
      <c r="C83" s="8" t="s">
        <v>129</v>
      </c>
      <c r="D83" s="9">
        <v>55505.05</v>
      </c>
      <c r="E83" s="9">
        <v>0</v>
      </c>
      <c r="F83" s="9">
        <v>12546</v>
      </c>
      <c r="G83" s="9">
        <f t="shared" si="2"/>
        <v>-12546</v>
      </c>
      <c r="H83" s="9">
        <f t="shared" si="3"/>
        <v>42959.05</v>
      </c>
      <c r="I83" s="8" t="s">
        <v>130</v>
      </c>
    </row>
    <row r="84" spans="2:9" x14ac:dyDescent="0.3">
      <c r="B84" s="8" t="s">
        <v>131</v>
      </c>
      <c r="C84" s="8" t="s">
        <v>132</v>
      </c>
      <c r="D84" s="9">
        <v>186025.46</v>
      </c>
      <c r="E84" s="9">
        <v>0</v>
      </c>
      <c r="F84" s="9">
        <v>62008.44</v>
      </c>
      <c r="G84" s="9">
        <f t="shared" si="2"/>
        <v>-62008.44</v>
      </c>
      <c r="H84" s="9">
        <f t="shared" si="3"/>
        <v>124017.01999999999</v>
      </c>
      <c r="I84" s="8" t="s">
        <v>130</v>
      </c>
    </row>
    <row r="85" spans="2:9" x14ac:dyDescent="0.3">
      <c r="B85" s="8" t="s">
        <v>467</v>
      </c>
      <c r="C85" s="8" t="s">
        <v>468</v>
      </c>
      <c r="D85" s="9">
        <v>8872.27</v>
      </c>
      <c r="E85" s="9">
        <v>0</v>
      </c>
      <c r="F85" s="9">
        <v>985.8</v>
      </c>
      <c r="G85" s="9">
        <f t="shared" si="2"/>
        <v>-985.8</v>
      </c>
      <c r="H85" s="9">
        <f t="shared" si="3"/>
        <v>7886.47</v>
      </c>
      <c r="I85" s="8" t="s">
        <v>130</v>
      </c>
    </row>
    <row r="86" spans="2:9" x14ac:dyDescent="0.3">
      <c r="B86" s="8" t="s">
        <v>133</v>
      </c>
      <c r="C86" s="8" t="s">
        <v>134</v>
      </c>
      <c r="D86" s="9">
        <v>-46506.33</v>
      </c>
      <c r="E86" s="9">
        <v>46506.33</v>
      </c>
      <c r="F86" s="9">
        <v>0</v>
      </c>
      <c r="G86" s="9">
        <f t="shared" si="2"/>
        <v>46506.33</v>
      </c>
      <c r="H86" s="9">
        <f t="shared" si="3"/>
        <v>0</v>
      </c>
      <c r="I86" s="8" t="s">
        <v>130</v>
      </c>
    </row>
    <row r="87" spans="2:9" x14ac:dyDescent="0.3">
      <c r="B87" s="8" t="s">
        <v>135</v>
      </c>
      <c r="C87" s="8" t="s">
        <v>136</v>
      </c>
      <c r="D87" s="9">
        <v>-5654.63</v>
      </c>
      <c r="E87" s="9">
        <v>0</v>
      </c>
      <c r="F87" s="9">
        <v>919</v>
      </c>
      <c r="G87" s="9">
        <f t="shared" si="2"/>
        <v>-919</v>
      </c>
      <c r="H87" s="9">
        <f t="shared" si="3"/>
        <v>-6573.63</v>
      </c>
      <c r="I87" s="8" t="s">
        <v>130</v>
      </c>
    </row>
    <row r="88" spans="2:9" x14ac:dyDescent="0.3">
      <c r="B88" s="15" t="s">
        <v>137</v>
      </c>
      <c r="C88" s="15" t="s">
        <v>138</v>
      </c>
      <c r="D88" s="17"/>
      <c r="E88" s="17"/>
      <c r="F88" s="17"/>
      <c r="G88" s="17"/>
      <c r="H88" s="17"/>
      <c r="I88" s="15"/>
    </row>
    <row r="89" spans="2:9" x14ac:dyDescent="0.3">
      <c r="B89" s="8" t="s">
        <v>659</v>
      </c>
      <c r="C89" s="8" t="s">
        <v>660</v>
      </c>
      <c r="D89" s="9">
        <v>0</v>
      </c>
      <c r="E89" s="9">
        <v>11211</v>
      </c>
      <c r="F89" s="9">
        <v>11211</v>
      </c>
      <c r="G89" s="9">
        <f t="shared" si="2"/>
        <v>0</v>
      </c>
      <c r="H89" s="9">
        <f t="shared" si="3"/>
        <v>0</v>
      </c>
      <c r="I89" s="8" t="s">
        <v>141</v>
      </c>
    </row>
    <row r="90" spans="2:9" x14ac:dyDescent="0.3">
      <c r="B90" s="8" t="s">
        <v>471</v>
      </c>
      <c r="C90" s="8" t="s">
        <v>472</v>
      </c>
      <c r="D90" s="9">
        <v>143269.54</v>
      </c>
      <c r="E90" s="9">
        <v>1685</v>
      </c>
      <c r="F90" s="9">
        <v>2955</v>
      </c>
      <c r="G90" s="9">
        <f t="shared" si="2"/>
        <v>-1270</v>
      </c>
      <c r="H90" s="9">
        <f t="shared" si="3"/>
        <v>141999.54</v>
      </c>
      <c r="I90" s="8" t="s">
        <v>141</v>
      </c>
    </row>
    <row r="91" spans="2:9" x14ac:dyDescent="0.3">
      <c r="B91" s="8" t="s">
        <v>473</v>
      </c>
      <c r="C91" s="8" t="s">
        <v>474</v>
      </c>
      <c r="D91" s="9">
        <v>104098.21</v>
      </c>
      <c r="E91" s="9">
        <v>0</v>
      </c>
      <c r="F91" s="9">
        <v>0</v>
      </c>
      <c r="G91" s="9">
        <f t="shared" si="2"/>
        <v>0</v>
      </c>
      <c r="H91" s="9">
        <f t="shared" si="3"/>
        <v>104098.21</v>
      </c>
      <c r="I91" s="8" t="s">
        <v>141</v>
      </c>
    </row>
    <row r="92" spans="2:9" x14ac:dyDescent="0.3">
      <c r="B92" s="8" t="s">
        <v>661</v>
      </c>
      <c r="C92" s="8" t="s">
        <v>662</v>
      </c>
      <c r="D92" s="9">
        <v>0</v>
      </c>
      <c r="E92" s="9">
        <v>500</v>
      </c>
      <c r="F92" s="9">
        <v>0</v>
      </c>
      <c r="G92" s="9">
        <f t="shared" si="2"/>
        <v>500</v>
      </c>
      <c r="H92" s="9">
        <f t="shared" si="3"/>
        <v>500</v>
      </c>
      <c r="I92" s="8" t="s">
        <v>141</v>
      </c>
    </row>
    <row r="93" spans="2:9" x14ac:dyDescent="0.3">
      <c r="B93" s="8" t="s">
        <v>142</v>
      </c>
      <c r="C93" s="8" t="s">
        <v>143</v>
      </c>
      <c r="D93" s="9">
        <v>6200</v>
      </c>
      <c r="E93" s="9">
        <v>14495</v>
      </c>
      <c r="F93" s="9">
        <v>0</v>
      </c>
      <c r="G93" s="9">
        <f t="shared" si="2"/>
        <v>14495</v>
      </c>
      <c r="H93" s="9">
        <f t="shared" si="3"/>
        <v>20695</v>
      </c>
      <c r="I93" s="8" t="s">
        <v>141</v>
      </c>
    </row>
    <row r="94" spans="2:9" x14ac:dyDescent="0.3">
      <c r="B94" s="8" t="s">
        <v>479</v>
      </c>
      <c r="C94" s="8" t="s">
        <v>480</v>
      </c>
      <c r="D94" s="9">
        <v>9300</v>
      </c>
      <c r="E94" s="9">
        <v>1000</v>
      </c>
      <c r="F94" s="9">
        <v>0</v>
      </c>
      <c r="G94" s="9">
        <f t="shared" si="2"/>
        <v>1000</v>
      </c>
      <c r="H94" s="9">
        <f t="shared" si="3"/>
        <v>10300</v>
      </c>
      <c r="I94" s="8" t="s">
        <v>141</v>
      </c>
    </row>
    <row r="95" spans="2:9" x14ac:dyDescent="0.3">
      <c r="B95" s="8" t="s">
        <v>618</v>
      </c>
      <c r="C95" s="8" t="s">
        <v>619</v>
      </c>
      <c r="D95" s="9">
        <v>-7874</v>
      </c>
      <c r="E95" s="9">
        <v>0</v>
      </c>
      <c r="F95" s="9">
        <v>0</v>
      </c>
      <c r="G95" s="9">
        <f t="shared" si="2"/>
        <v>0</v>
      </c>
      <c r="H95" s="9">
        <f t="shared" si="3"/>
        <v>-7874</v>
      </c>
      <c r="I95" s="8" t="s">
        <v>141</v>
      </c>
    </row>
    <row r="96" spans="2:9" x14ac:dyDescent="0.3">
      <c r="B96" s="8" t="s">
        <v>481</v>
      </c>
      <c r="C96" s="8" t="s">
        <v>482</v>
      </c>
      <c r="D96" s="9">
        <v>81540.33</v>
      </c>
      <c r="E96" s="9">
        <v>0</v>
      </c>
      <c r="F96" s="9">
        <v>0</v>
      </c>
      <c r="G96" s="9">
        <f t="shared" si="2"/>
        <v>0</v>
      </c>
      <c r="H96" s="9">
        <f t="shared" si="3"/>
        <v>81540.33</v>
      </c>
      <c r="I96" s="8" t="s">
        <v>141</v>
      </c>
    </row>
    <row r="97" spans="2:9" x14ac:dyDescent="0.3">
      <c r="B97" s="8" t="s">
        <v>663</v>
      </c>
      <c r="C97" s="8" t="s">
        <v>664</v>
      </c>
      <c r="D97" s="9">
        <v>0</v>
      </c>
      <c r="E97" s="9">
        <v>4000</v>
      </c>
      <c r="F97" s="9">
        <v>0</v>
      </c>
      <c r="G97" s="9">
        <f t="shared" si="2"/>
        <v>4000</v>
      </c>
      <c r="H97" s="9">
        <f t="shared" si="3"/>
        <v>4000</v>
      </c>
      <c r="I97" s="8" t="s">
        <v>141</v>
      </c>
    </row>
    <row r="98" spans="2:9" x14ac:dyDescent="0.3">
      <c r="B98" s="15" t="s">
        <v>154</v>
      </c>
      <c r="C98" s="15" t="s">
        <v>155</v>
      </c>
      <c r="D98" s="17"/>
      <c r="E98" s="17"/>
      <c r="F98" s="17"/>
      <c r="G98" s="17"/>
      <c r="H98" s="17"/>
      <c r="I98" s="15"/>
    </row>
    <row r="99" spans="2:9" x14ac:dyDescent="0.3">
      <c r="B99" s="8" t="s">
        <v>483</v>
      </c>
      <c r="C99" s="8" t="s">
        <v>484</v>
      </c>
      <c r="D99" s="9">
        <v>154069.01</v>
      </c>
      <c r="E99" s="9">
        <v>0</v>
      </c>
      <c r="F99" s="9">
        <v>0</v>
      </c>
      <c r="G99" s="9">
        <f t="shared" si="2"/>
        <v>0</v>
      </c>
      <c r="H99" s="9">
        <f t="shared" si="3"/>
        <v>154069.01</v>
      </c>
      <c r="I99" s="8" t="s">
        <v>158</v>
      </c>
    </row>
    <row r="100" spans="2:9" x14ac:dyDescent="0.3">
      <c r="B100" s="8" t="s">
        <v>156</v>
      </c>
      <c r="C100" s="8" t="s">
        <v>157</v>
      </c>
      <c r="D100" s="9">
        <v>-6758.5</v>
      </c>
      <c r="E100" s="9">
        <v>95000</v>
      </c>
      <c r="F100" s="9">
        <v>79833</v>
      </c>
      <c r="G100" s="9">
        <f t="shared" si="2"/>
        <v>15167</v>
      </c>
      <c r="H100" s="9">
        <f t="shared" si="3"/>
        <v>8408.5</v>
      </c>
      <c r="I100" s="8" t="s">
        <v>158</v>
      </c>
    </row>
    <row r="101" spans="2:9" x14ac:dyDescent="0.3">
      <c r="B101" s="8" t="s">
        <v>485</v>
      </c>
      <c r="C101" s="8" t="s">
        <v>486</v>
      </c>
      <c r="D101" s="9">
        <v>257525</v>
      </c>
      <c r="E101" s="9">
        <v>0</v>
      </c>
      <c r="F101" s="9">
        <v>0</v>
      </c>
      <c r="G101" s="9">
        <f t="shared" si="2"/>
        <v>0</v>
      </c>
      <c r="H101" s="9">
        <f t="shared" si="3"/>
        <v>257525</v>
      </c>
      <c r="I101" s="8" t="s">
        <v>158</v>
      </c>
    </row>
    <row r="102" spans="2:9" x14ac:dyDescent="0.3">
      <c r="B102" s="8" t="s">
        <v>665</v>
      </c>
      <c r="C102" s="8" t="s">
        <v>666</v>
      </c>
      <c r="D102" s="9">
        <v>0</v>
      </c>
      <c r="E102" s="9">
        <v>12420</v>
      </c>
      <c r="F102" s="9">
        <v>0</v>
      </c>
      <c r="G102" s="9">
        <f t="shared" si="2"/>
        <v>12420</v>
      </c>
      <c r="H102" s="9">
        <f t="shared" si="3"/>
        <v>12420</v>
      </c>
      <c r="I102" s="8" t="s">
        <v>158</v>
      </c>
    </row>
    <row r="103" spans="2:9" x14ac:dyDescent="0.3">
      <c r="B103" s="8" t="s">
        <v>489</v>
      </c>
      <c r="C103" s="8" t="s">
        <v>490</v>
      </c>
      <c r="D103" s="9">
        <v>2212.9499999999998</v>
      </c>
      <c r="E103" s="9">
        <v>0</v>
      </c>
      <c r="F103" s="9">
        <v>21536.15</v>
      </c>
      <c r="G103" s="9">
        <f t="shared" si="2"/>
        <v>-21536.15</v>
      </c>
      <c r="H103" s="9">
        <f t="shared" si="3"/>
        <v>-19323.2</v>
      </c>
      <c r="I103" s="8" t="s">
        <v>158</v>
      </c>
    </row>
    <row r="104" spans="2:9" x14ac:dyDescent="0.3">
      <c r="B104" s="8" t="s">
        <v>491</v>
      </c>
      <c r="C104" s="8" t="s">
        <v>492</v>
      </c>
      <c r="D104" s="9">
        <v>650000</v>
      </c>
      <c r="E104" s="9">
        <v>0</v>
      </c>
      <c r="F104" s="9">
        <v>0</v>
      </c>
      <c r="G104" s="9">
        <f t="shared" si="2"/>
        <v>0</v>
      </c>
      <c r="H104" s="9">
        <f t="shared" si="3"/>
        <v>650000</v>
      </c>
      <c r="I104" s="8" t="s">
        <v>158</v>
      </c>
    </row>
    <row r="105" spans="2:9" x14ac:dyDescent="0.3">
      <c r="B105" s="15" t="s">
        <v>159</v>
      </c>
      <c r="C105" s="15" t="s">
        <v>160</v>
      </c>
      <c r="D105" s="17"/>
      <c r="E105" s="17"/>
      <c r="F105" s="17"/>
      <c r="G105" s="17"/>
      <c r="H105" s="17"/>
      <c r="I105" s="15"/>
    </row>
    <row r="106" spans="2:9" x14ac:dyDescent="0.3">
      <c r="B106" s="8" t="s">
        <v>161</v>
      </c>
      <c r="C106" s="8" t="s">
        <v>162</v>
      </c>
      <c r="D106" s="9">
        <v>489899.64</v>
      </c>
      <c r="E106" s="9">
        <v>926977.66</v>
      </c>
      <c r="F106" s="9">
        <v>968246.42</v>
      </c>
      <c r="G106" s="9">
        <f t="shared" si="2"/>
        <v>-41268.760000000009</v>
      </c>
      <c r="H106" s="9">
        <f t="shared" si="3"/>
        <v>448630.88</v>
      </c>
      <c r="I106" s="8" t="s">
        <v>163</v>
      </c>
    </row>
    <row r="107" spans="2:9" x14ac:dyDescent="0.3">
      <c r="B107" s="8" t="s">
        <v>164</v>
      </c>
      <c r="C107" s="8" t="s">
        <v>165</v>
      </c>
      <c r="D107" s="9">
        <v>-417772.11</v>
      </c>
      <c r="E107" s="9">
        <v>9212923.3200000003</v>
      </c>
      <c r="F107" s="9">
        <v>9186675.1500000004</v>
      </c>
      <c r="G107" s="9">
        <f t="shared" si="2"/>
        <v>26248.169999999925</v>
      </c>
      <c r="H107" s="9">
        <f t="shared" si="3"/>
        <v>-391523.94000000006</v>
      </c>
      <c r="I107" s="8" t="s">
        <v>163</v>
      </c>
    </row>
    <row r="108" spans="2:9" x14ac:dyDescent="0.3">
      <c r="B108" s="8" t="s">
        <v>166</v>
      </c>
      <c r="C108" s="8" t="s">
        <v>167</v>
      </c>
      <c r="D108" s="9">
        <v>0</v>
      </c>
      <c r="E108" s="9">
        <v>905309.95</v>
      </c>
      <c r="F108" s="9">
        <v>905309.95</v>
      </c>
      <c r="G108" s="9">
        <f t="shared" si="2"/>
        <v>0</v>
      </c>
      <c r="H108" s="9">
        <f t="shared" si="3"/>
        <v>0</v>
      </c>
      <c r="I108" s="8" t="s">
        <v>163</v>
      </c>
    </row>
    <row r="109" spans="2:9" x14ac:dyDescent="0.3">
      <c r="B109" s="15" t="s">
        <v>493</v>
      </c>
      <c r="C109" s="15" t="s">
        <v>494</v>
      </c>
      <c r="D109" s="17"/>
      <c r="E109" s="17"/>
      <c r="F109" s="17"/>
      <c r="G109" s="17"/>
      <c r="H109" s="17"/>
      <c r="I109" s="15"/>
    </row>
    <row r="110" spans="2:9" x14ac:dyDescent="0.3">
      <c r="B110" s="8" t="s">
        <v>495</v>
      </c>
      <c r="C110" s="8" t="s">
        <v>496</v>
      </c>
      <c r="D110" s="9">
        <v>747534.5</v>
      </c>
      <c r="E110" s="9">
        <v>21304.720000000001</v>
      </c>
      <c r="F110" s="9">
        <v>0</v>
      </c>
      <c r="G110" s="9">
        <f t="shared" si="2"/>
        <v>21304.720000000001</v>
      </c>
      <c r="H110" s="9">
        <f t="shared" si="3"/>
        <v>768839.22</v>
      </c>
      <c r="I110" s="8" t="s">
        <v>497</v>
      </c>
    </row>
    <row r="111" spans="2:9" x14ac:dyDescent="0.3">
      <c r="B111" s="8" t="s">
        <v>498</v>
      </c>
      <c r="C111" s="8" t="s">
        <v>499</v>
      </c>
      <c r="D111" s="9">
        <v>2850</v>
      </c>
      <c r="E111" s="9">
        <v>2259.13</v>
      </c>
      <c r="F111" s="9">
        <v>0</v>
      </c>
      <c r="G111" s="9">
        <f t="shared" si="2"/>
        <v>2259.13</v>
      </c>
      <c r="H111" s="9">
        <f t="shared" si="3"/>
        <v>5109.13</v>
      </c>
      <c r="I111" s="8" t="s">
        <v>497</v>
      </c>
    </row>
    <row r="112" spans="2:9" x14ac:dyDescent="0.3">
      <c r="B112" s="8" t="s">
        <v>500</v>
      </c>
      <c r="C112" s="8" t="s">
        <v>501</v>
      </c>
      <c r="D112" s="9">
        <v>20500</v>
      </c>
      <c r="E112" s="9">
        <v>13500</v>
      </c>
      <c r="F112" s="9">
        <v>0</v>
      </c>
      <c r="G112" s="9">
        <f t="shared" si="2"/>
        <v>13500</v>
      </c>
      <c r="H112" s="9">
        <f t="shared" si="3"/>
        <v>34000</v>
      </c>
      <c r="I112" s="8" t="s">
        <v>497</v>
      </c>
    </row>
    <row r="113" spans="2:9" x14ac:dyDescent="0.3">
      <c r="B113" s="15" t="s">
        <v>168</v>
      </c>
      <c r="C113" s="15" t="s">
        <v>169</v>
      </c>
      <c r="D113" s="17"/>
      <c r="E113" s="17"/>
      <c r="F113" s="17"/>
      <c r="G113" s="17"/>
      <c r="H113" s="17"/>
      <c r="I113" s="15"/>
    </row>
    <row r="114" spans="2:9" x14ac:dyDescent="0.3">
      <c r="B114" s="8" t="s">
        <v>170</v>
      </c>
      <c r="C114" s="8" t="s">
        <v>171</v>
      </c>
      <c r="D114" s="9">
        <v>-31997.37</v>
      </c>
      <c r="E114" s="9">
        <v>0</v>
      </c>
      <c r="F114" s="9">
        <v>10754.17</v>
      </c>
      <c r="G114" s="9">
        <f t="shared" si="2"/>
        <v>-10754.17</v>
      </c>
      <c r="H114" s="9">
        <f t="shared" si="3"/>
        <v>-42751.54</v>
      </c>
      <c r="I114" s="8" t="s">
        <v>172</v>
      </c>
    </row>
    <row r="115" spans="2:9" x14ac:dyDescent="0.3">
      <c r="B115" s="8" t="s">
        <v>173</v>
      </c>
      <c r="C115" s="8" t="s">
        <v>174</v>
      </c>
      <c r="D115" s="9">
        <v>-2562.86</v>
      </c>
      <c r="E115" s="9">
        <v>0</v>
      </c>
      <c r="F115" s="9">
        <v>870.23</v>
      </c>
      <c r="G115" s="9">
        <f t="shared" si="2"/>
        <v>-870.23</v>
      </c>
      <c r="H115" s="9">
        <f t="shared" si="3"/>
        <v>-3433.09</v>
      </c>
      <c r="I115" s="8" t="s">
        <v>172</v>
      </c>
    </row>
    <row r="116" spans="2:9" x14ac:dyDescent="0.3">
      <c r="B116" s="8" t="s">
        <v>175</v>
      </c>
      <c r="C116" s="8" t="s">
        <v>176</v>
      </c>
      <c r="D116" s="9">
        <v>-759.64</v>
      </c>
      <c r="E116" s="9">
        <v>0</v>
      </c>
      <c r="F116" s="9">
        <v>16299.95</v>
      </c>
      <c r="G116" s="9">
        <f t="shared" si="2"/>
        <v>-16299.95</v>
      </c>
      <c r="H116" s="9">
        <f t="shared" si="3"/>
        <v>-17059.59</v>
      </c>
      <c r="I116" s="8" t="s">
        <v>172</v>
      </c>
    </row>
    <row r="117" spans="2:9" x14ac:dyDescent="0.3">
      <c r="B117" s="8" t="s">
        <v>177</v>
      </c>
      <c r="C117" s="8" t="s">
        <v>178</v>
      </c>
      <c r="D117" s="9">
        <v>-245.5</v>
      </c>
      <c r="E117" s="9">
        <v>0</v>
      </c>
      <c r="F117" s="9">
        <v>81.84</v>
      </c>
      <c r="G117" s="9">
        <f t="shared" si="2"/>
        <v>-81.84</v>
      </c>
      <c r="H117" s="9">
        <f t="shared" si="3"/>
        <v>-327.34000000000003</v>
      </c>
      <c r="I117" s="8" t="s">
        <v>172</v>
      </c>
    </row>
    <row r="118" spans="2:9" x14ac:dyDescent="0.3">
      <c r="B118" s="8" t="s">
        <v>179</v>
      </c>
      <c r="C118" s="8" t="s">
        <v>180</v>
      </c>
      <c r="D118" s="9">
        <v>-9469.31</v>
      </c>
      <c r="E118" s="9">
        <v>0</v>
      </c>
      <c r="F118" s="9">
        <v>9567.1200000000008</v>
      </c>
      <c r="G118" s="9">
        <f t="shared" si="2"/>
        <v>-9567.1200000000008</v>
      </c>
      <c r="H118" s="9">
        <f t="shared" si="3"/>
        <v>-19036.43</v>
      </c>
      <c r="I118" s="8" t="s">
        <v>172</v>
      </c>
    </row>
    <row r="119" spans="2:9" x14ac:dyDescent="0.3">
      <c r="B119" s="8" t="s">
        <v>181</v>
      </c>
      <c r="C119" s="8" t="s">
        <v>182</v>
      </c>
      <c r="D119" s="9">
        <v>-1378.71</v>
      </c>
      <c r="E119" s="9">
        <v>0</v>
      </c>
      <c r="F119" s="9">
        <v>459.56</v>
      </c>
      <c r="G119" s="9">
        <f t="shared" si="2"/>
        <v>-459.56</v>
      </c>
      <c r="H119" s="9">
        <f t="shared" si="3"/>
        <v>-1838.27</v>
      </c>
      <c r="I119" s="8" t="s">
        <v>172</v>
      </c>
    </row>
    <row r="120" spans="2:9" x14ac:dyDescent="0.3">
      <c r="B120" s="8" t="s">
        <v>183</v>
      </c>
      <c r="C120" s="8" t="s">
        <v>184</v>
      </c>
      <c r="D120" s="9">
        <v>-158.37</v>
      </c>
      <c r="E120" s="9">
        <v>0</v>
      </c>
      <c r="F120" s="9">
        <v>52.78</v>
      </c>
      <c r="G120" s="9">
        <f t="shared" si="2"/>
        <v>-52.78</v>
      </c>
      <c r="H120" s="9">
        <f t="shared" si="3"/>
        <v>-211.15</v>
      </c>
      <c r="I120" s="8" t="s">
        <v>172</v>
      </c>
    </row>
    <row r="121" spans="2:9" x14ac:dyDescent="0.3">
      <c r="B121" s="15" t="s">
        <v>185</v>
      </c>
      <c r="C121" s="15" t="s">
        <v>186</v>
      </c>
      <c r="D121" s="17"/>
      <c r="E121" s="17"/>
      <c r="F121" s="17"/>
      <c r="G121" s="17"/>
      <c r="H121" s="17"/>
      <c r="I121" s="15"/>
    </row>
    <row r="122" spans="2:9" x14ac:dyDescent="0.3">
      <c r="B122" s="8" t="s">
        <v>187</v>
      </c>
      <c r="C122" s="8" t="s">
        <v>188</v>
      </c>
      <c r="D122" s="9">
        <v>862.5</v>
      </c>
      <c r="E122" s="9">
        <v>39847.5</v>
      </c>
      <c r="F122" s="9">
        <v>0</v>
      </c>
      <c r="G122" s="9">
        <f t="shared" si="2"/>
        <v>39847.5</v>
      </c>
      <c r="H122" s="9">
        <f t="shared" si="3"/>
        <v>40710</v>
      </c>
      <c r="I122" s="8" t="s">
        <v>189</v>
      </c>
    </row>
    <row r="123" spans="2:9" x14ac:dyDescent="0.3">
      <c r="B123" s="8" t="s">
        <v>502</v>
      </c>
      <c r="C123" s="8" t="s">
        <v>503</v>
      </c>
      <c r="D123" s="9">
        <v>-121.88</v>
      </c>
      <c r="E123" s="9">
        <v>0</v>
      </c>
      <c r="F123" s="9">
        <v>0</v>
      </c>
      <c r="G123" s="9">
        <f t="shared" si="2"/>
        <v>0</v>
      </c>
      <c r="H123" s="9">
        <f t="shared" si="3"/>
        <v>-121.88</v>
      </c>
      <c r="I123" s="8" t="s">
        <v>189</v>
      </c>
    </row>
    <row r="124" spans="2:9" x14ac:dyDescent="0.3">
      <c r="B124" s="8" t="s">
        <v>667</v>
      </c>
      <c r="C124" s="8" t="s">
        <v>668</v>
      </c>
      <c r="D124" s="9">
        <v>0</v>
      </c>
      <c r="E124" s="9">
        <v>100000</v>
      </c>
      <c r="F124" s="9">
        <v>0</v>
      </c>
      <c r="G124" s="9">
        <f t="shared" si="2"/>
        <v>100000</v>
      </c>
      <c r="H124" s="9">
        <f t="shared" si="3"/>
        <v>100000</v>
      </c>
      <c r="I124" s="8" t="s">
        <v>189</v>
      </c>
    </row>
    <row r="125" spans="2:9" x14ac:dyDescent="0.3">
      <c r="B125" s="8" t="s">
        <v>504</v>
      </c>
      <c r="C125" s="8" t="s">
        <v>505</v>
      </c>
      <c r="D125" s="9">
        <v>-415.5</v>
      </c>
      <c r="E125" s="9">
        <v>0</v>
      </c>
      <c r="F125" s="9">
        <v>0</v>
      </c>
      <c r="G125" s="9">
        <f t="shared" si="2"/>
        <v>0</v>
      </c>
      <c r="H125" s="9">
        <f t="shared" si="3"/>
        <v>-415.5</v>
      </c>
      <c r="I125" s="8" t="s">
        <v>189</v>
      </c>
    </row>
    <row r="126" spans="2:9" x14ac:dyDescent="0.3">
      <c r="B126" s="8" t="s">
        <v>192</v>
      </c>
      <c r="C126" s="8" t="s">
        <v>193</v>
      </c>
      <c r="D126" s="9">
        <v>0</v>
      </c>
      <c r="E126" s="9">
        <v>46657.35</v>
      </c>
      <c r="F126" s="9">
        <v>46657.35</v>
      </c>
      <c r="G126" s="9">
        <f t="shared" si="2"/>
        <v>0</v>
      </c>
      <c r="H126" s="9">
        <f t="shared" si="3"/>
        <v>0</v>
      </c>
      <c r="I126" s="8" t="s">
        <v>189</v>
      </c>
    </row>
    <row r="127" spans="2:9" x14ac:dyDescent="0.3">
      <c r="B127" s="8" t="s">
        <v>506</v>
      </c>
      <c r="C127" s="8" t="s">
        <v>507</v>
      </c>
      <c r="D127" s="9">
        <v>-2761.81</v>
      </c>
      <c r="E127" s="9">
        <v>1630.13</v>
      </c>
      <c r="F127" s="9">
        <v>0</v>
      </c>
      <c r="G127" s="9">
        <f t="shared" si="2"/>
        <v>1630.13</v>
      </c>
      <c r="H127" s="9">
        <f t="shared" si="3"/>
        <v>-1131.6799999999998</v>
      </c>
      <c r="I127" s="8" t="s">
        <v>189</v>
      </c>
    </row>
    <row r="128" spans="2:9" x14ac:dyDescent="0.3">
      <c r="B128" s="8" t="s">
        <v>194</v>
      </c>
      <c r="C128" s="8" t="s">
        <v>195</v>
      </c>
      <c r="D128" s="9">
        <v>0</v>
      </c>
      <c r="E128" s="9">
        <v>189343</v>
      </c>
      <c r="F128" s="9">
        <v>189343</v>
      </c>
      <c r="G128" s="9">
        <f t="shared" si="2"/>
        <v>0</v>
      </c>
      <c r="H128" s="9">
        <f t="shared" si="3"/>
        <v>0</v>
      </c>
      <c r="I128" s="8" t="s">
        <v>189</v>
      </c>
    </row>
    <row r="129" spans="2:9" x14ac:dyDescent="0.3">
      <c r="B129" s="8" t="s">
        <v>196</v>
      </c>
      <c r="C129" s="8" t="s">
        <v>197</v>
      </c>
      <c r="D129" s="9">
        <v>-1393740.33</v>
      </c>
      <c r="E129" s="9">
        <v>0</v>
      </c>
      <c r="F129" s="9">
        <v>0</v>
      </c>
      <c r="G129" s="9">
        <f t="shared" si="2"/>
        <v>0</v>
      </c>
      <c r="H129" s="9">
        <f t="shared" si="3"/>
        <v>-1393740.33</v>
      </c>
      <c r="I129" s="8" t="s">
        <v>189</v>
      </c>
    </row>
    <row r="130" spans="2:9" x14ac:dyDescent="0.3">
      <c r="B130" s="8" t="s">
        <v>669</v>
      </c>
      <c r="C130" s="8" t="s">
        <v>670</v>
      </c>
      <c r="D130" s="9">
        <v>0</v>
      </c>
      <c r="E130" s="9">
        <v>3570</v>
      </c>
      <c r="F130" s="9">
        <v>3570</v>
      </c>
      <c r="G130" s="9">
        <f t="shared" si="2"/>
        <v>0</v>
      </c>
      <c r="H130" s="9">
        <f t="shared" si="3"/>
        <v>0</v>
      </c>
      <c r="I130" s="8" t="s">
        <v>189</v>
      </c>
    </row>
    <row r="131" spans="2:9" x14ac:dyDescent="0.3">
      <c r="B131" s="8" t="s">
        <v>198</v>
      </c>
      <c r="C131" s="8" t="s">
        <v>199</v>
      </c>
      <c r="D131" s="9">
        <v>0.25</v>
      </c>
      <c r="E131" s="9">
        <v>3974.4</v>
      </c>
      <c r="F131" s="9">
        <v>3974.4</v>
      </c>
      <c r="G131" s="9">
        <f t="shared" si="2"/>
        <v>0</v>
      </c>
      <c r="H131" s="9">
        <f t="shared" si="3"/>
        <v>0.25</v>
      </c>
      <c r="I131" s="8" t="s">
        <v>189</v>
      </c>
    </row>
    <row r="132" spans="2:9" x14ac:dyDescent="0.3">
      <c r="B132" s="8" t="s">
        <v>508</v>
      </c>
      <c r="C132" s="8" t="s">
        <v>509</v>
      </c>
      <c r="D132" s="9">
        <v>-0.4</v>
      </c>
      <c r="E132" s="9">
        <v>4037</v>
      </c>
      <c r="F132" s="9">
        <v>4036.5</v>
      </c>
      <c r="G132" s="9">
        <f t="shared" si="2"/>
        <v>0.5</v>
      </c>
      <c r="H132" s="9">
        <f t="shared" si="3"/>
        <v>9.9999999999999978E-2</v>
      </c>
      <c r="I132" s="8" t="s">
        <v>189</v>
      </c>
    </row>
    <row r="133" spans="2:9" x14ac:dyDescent="0.3">
      <c r="B133" s="8" t="s">
        <v>510</v>
      </c>
      <c r="C133" s="8" t="s">
        <v>511</v>
      </c>
      <c r="D133" s="9">
        <v>-1640</v>
      </c>
      <c r="E133" s="9">
        <v>0</v>
      </c>
      <c r="F133" s="9">
        <v>0</v>
      </c>
      <c r="G133" s="9">
        <f t="shared" si="2"/>
        <v>0</v>
      </c>
      <c r="H133" s="9">
        <f t="shared" si="3"/>
        <v>-1640</v>
      </c>
      <c r="I133" s="8" t="s">
        <v>189</v>
      </c>
    </row>
    <row r="134" spans="2:9" x14ac:dyDescent="0.3">
      <c r="B134" s="8" t="s">
        <v>620</v>
      </c>
      <c r="C134" s="8" t="s">
        <v>621</v>
      </c>
      <c r="D134" s="9">
        <v>-0.25</v>
      </c>
      <c r="E134" s="9">
        <v>0</v>
      </c>
      <c r="F134" s="9">
        <v>0</v>
      </c>
      <c r="G134" s="9">
        <f t="shared" si="2"/>
        <v>0</v>
      </c>
      <c r="H134" s="9">
        <f t="shared" si="3"/>
        <v>-0.25</v>
      </c>
      <c r="I134" s="8" t="s">
        <v>189</v>
      </c>
    </row>
    <row r="135" spans="2:9" x14ac:dyDescent="0.3">
      <c r="B135" s="8" t="s">
        <v>514</v>
      </c>
      <c r="C135" s="8" t="s">
        <v>515</v>
      </c>
      <c r="D135" s="9">
        <v>-38231.300000000003</v>
      </c>
      <c r="E135" s="9">
        <v>0</v>
      </c>
      <c r="F135" s="9">
        <v>23446.2</v>
      </c>
      <c r="G135" s="9">
        <f t="shared" si="2"/>
        <v>-23446.2</v>
      </c>
      <c r="H135" s="9">
        <f t="shared" si="3"/>
        <v>-61677.5</v>
      </c>
      <c r="I135" s="8" t="s">
        <v>189</v>
      </c>
    </row>
    <row r="136" spans="2:9" x14ac:dyDescent="0.3">
      <c r="B136" s="8" t="s">
        <v>516</v>
      </c>
      <c r="C136" s="8" t="s">
        <v>517</v>
      </c>
      <c r="D136" s="9">
        <v>-32678.400000000001</v>
      </c>
      <c r="E136" s="9">
        <v>4403</v>
      </c>
      <c r="F136" s="9">
        <v>7500</v>
      </c>
      <c r="G136" s="9">
        <f t="shared" si="2"/>
        <v>-3097</v>
      </c>
      <c r="H136" s="9">
        <f t="shared" si="3"/>
        <v>-35775.4</v>
      </c>
      <c r="I136" s="8" t="s">
        <v>189</v>
      </c>
    </row>
    <row r="137" spans="2:9" x14ac:dyDescent="0.3">
      <c r="B137" s="8" t="s">
        <v>518</v>
      </c>
      <c r="C137" s="8" t="s">
        <v>519</v>
      </c>
      <c r="D137" s="9">
        <v>-1121229.0900000001</v>
      </c>
      <c r="E137" s="9">
        <v>554269.97</v>
      </c>
      <c r="F137" s="9">
        <v>0</v>
      </c>
      <c r="G137" s="9">
        <f t="shared" ref="G137:G200" si="4">E137-F137</f>
        <v>554269.97</v>
      </c>
      <c r="H137" s="9">
        <f t="shared" ref="H137:H200" si="5">D137+G137</f>
        <v>-566959.12000000011</v>
      </c>
      <c r="I137" s="8" t="s">
        <v>189</v>
      </c>
    </row>
    <row r="138" spans="2:9" x14ac:dyDescent="0.3">
      <c r="B138" s="8" t="s">
        <v>520</v>
      </c>
      <c r="C138" s="8" t="s">
        <v>521</v>
      </c>
      <c r="D138" s="9">
        <v>-35239.46</v>
      </c>
      <c r="E138" s="9">
        <v>35236</v>
      </c>
      <c r="F138" s="9">
        <v>0</v>
      </c>
      <c r="G138" s="9">
        <f t="shared" si="4"/>
        <v>35236</v>
      </c>
      <c r="H138" s="9">
        <f t="shared" si="5"/>
        <v>-3.4599999999991269</v>
      </c>
      <c r="I138" s="8" t="s">
        <v>189</v>
      </c>
    </row>
    <row r="139" spans="2:9" x14ac:dyDescent="0.3">
      <c r="B139" s="8" t="s">
        <v>202</v>
      </c>
      <c r="C139" s="8" t="s">
        <v>203</v>
      </c>
      <c r="D139" s="9">
        <v>5572.13</v>
      </c>
      <c r="E139" s="9">
        <v>0</v>
      </c>
      <c r="F139" s="9">
        <v>8102.7</v>
      </c>
      <c r="G139" s="9">
        <f t="shared" si="4"/>
        <v>-8102.7</v>
      </c>
      <c r="H139" s="9">
        <f t="shared" si="5"/>
        <v>-2530.5699999999997</v>
      </c>
      <c r="I139" s="8" t="s">
        <v>189</v>
      </c>
    </row>
    <row r="140" spans="2:9" x14ac:dyDescent="0.3">
      <c r="B140" s="8" t="s">
        <v>522</v>
      </c>
      <c r="C140" s="8" t="s">
        <v>523</v>
      </c>
      <c r="D140" s="9">
        <v>-187995.2</v>
      </c>
      <c r="E140" s="9">
        <v>0</v>
      </c>
      <c r="F140" s="9">
        <v>0</v>
      </c>
      <c r="G140" s="9">
        <f t="shared" si="4"/>
        <v>0</v>
      </c>
      <c r="H140" s="9">
        <f t="shared" si="5"/>
        <v>-187995.2</v>
      </c>
      <c r="I140" s="8" t="s">
        <v>189</v>
      </c>
    </row>
    <row r="141" spans="2:9" x14ac:dyDescent="0.3">
      <c r="B141" s="8" t="s">
        <v>524</v>
      </c>
      <c r="C141" s="8" t="s">
        <v>525</v>
      </c>
      <c r="D141" s="9">
        <v>-577.38</v>
      </c>
      <c r="E141" s="9">
        <v>276</v>
      </c>
      <c r="F141" s="9">
        <v>0</v>
      </c>
      <c r="G141" s="9">
        <f t="shared" si="4"/>
        <v>276</v>
      </c>
      <c r="H141" s="9">
        <f t="shared" si="5"/>
        <v>-301.38</v>
      </c>
      <c r="I141" s="8" t="s">
        <v>189</v>
      </c>
    </row>
    <row r="142" spans="2:9" x14ac:dyDescent="0.3">
      <c r="B142" s="8" t="s">
        <v>526</v>
      </c>
      <c r="C142" s="8" t="s">
        <v>527</v>
      </c>
      <c r="D142" s="9">
        <v>-0.3</v>
      </c>
      <c r="E142" s="9">
        <v>0</v>
      </c>
      <c r="F142" s="9">
        <v>0</v>
      </c>
      <c r="G142" s="9">
        <f t="shared" si="4"/>
        <v>0</v>
      </c>
      <c r="H142" s="9">
        <f t="shared" si="5"/>
        <v>-0.3</v>
      </c>
      <c r="I142" s="8" t="s">
        <v>189</v>
      </c>
    </row>
    <row r="143" spans="2:9" x14ac:dyDescent="0.3">
      <c r="B143" s="8" t="s">
        <v>528</v>
      </c>
      <c r="C143" s="8" t="s">
        <v>529</v>
      </c>
      <c r="D143" s="9">
        <v>50285.66</v>
      </c>
      <c r="E143" s="9">
        <v>0</v>
      </c>
      <c r="F143" s="9">
        <v>0</v>
      </c>
      <c r="G143" s="9">
        <f t="shared" si="4"/>
        <v>0</v>
      </c>
      <c r="H143" s="9">
        <f t="shared" si="5"/>
        <v>50285.66</v>
      </c>
      <c r="I143" s="8" t="s">
        <v>189</v>
      </c>
    </row>
    <row r="144" spans="2:9" x14ac:dyDescent="0.3">
      <c r="B144" s="8" t="s">
        <v>204</v>
      </c>
      <c r="C144" s="8" t="s">
        <v>205</v>
      </c>
      <c r="D144" s="9">
        <v>0</v>
      </c>
      <c r="E144" s="9">
        <v>21378.5</v>
      </c>
      <c r="F144" s="9">
        <v>21378.5</v>
      </c>
      <c r="G144" s="9">
        <f t="shared" si="4"/>
        <v>0</v>
      </c>
      <c r="H144" s="9">
        <f t="shared" si="5"/>
        <v>0</v>
      </c>
      <c r="I144" s="8" t="s">
        <v>189</v>
      </c>
    </row>
    <row r="145" spans="2:9" x14ac:dyDescent="0.3">
      <c r="B145" s="8" t="s">
        <v>531</v>
      </c>
      <c r="C145" s="8" t="s">
        <v>532</v>
      </c>
      <c r="D145" s="9">
        <v>-50285.66</v>
      </c>
      <c r="E145" s="9">
        <v>0</v>
      </c>
      <c r="F145" s="9">
        <v>0</v>
      </c>
      <c r="G145" s="9">
        <f t="shared" si="4"/>
        <v>0</v>
      </c>
      <c r="H145" s="9">
        <f t="shared" si="5"/>
        <v>-50285.66</v>
      </c>
      <c r="I145" s="8" t="s">
        <v>189</v>
      </c>
    </row>
    <row r="146" spans="2:9" x14ac:dyDescent="0.3">
      <c r="B146" s="8" t="s">
        <v>533</v>
      </c>
      <c r="C146" s="8" t="s">
        <v>534</v>
      </c>
      <c r="D146" s="9">
        <v>-90</v>
      </c>
      <c r="E146" s="9">
        <v>0</v>
      </c>
      <c r="F146" s="9">
        <v>0</v>
      </c>
      <c r="G146" s="9">
        <f t="shared" si="4"/>
        <v>0</v>
      </c>
      <c r="H146" s="9">
        <f t="shared" si="5"/>
        <v>-90</v>
      </c>
      <c r="I146" s="8" t="s">
        <v>189</v>
      </c>
    </row>
    <row r="147" spans="2:9" x14ac:dyDescent="0.3">
      <c r="B147" s="8" t="s">
        <v>671</v>
      </c>
      <c r="C147" s="8" t="s">
        <v>672</v>
      </c>
      <c r="D147" s="9">
        <v>0</v>
      </c>
      <c r="E147" s="9">
        <v>4828</v>
      </c>
      <c r="F147" s="9">
        <v>4828</v>
      </c>
      <c r="G147" s="9">
        <f t="shared" si="4"/>
        <v>0</v>
      </c>
      <c r="H147" s="9">
        <f t="shared" si="5"/>
        <v>0</v>
      </c>
      <c r="I147" s="8" t="s">
        <v>189</v>
      </c>
    </row>
    <row r="148" spans="2:9" x14ac:dyDescent="0.3">
      <c r="B148" s="8" t="s">
        <v>673</v>
      </c>
      <c r="C148" s="8" t="s">
        <v>674</v>
      </c>
      <c r="D148" s="9">
        <v>0</v>
      </c>
      <c r="E148" s="9">
        <v>38929.800000000003</v>
      </c>
      <c r="F148" s="9">
        <v>38929.800000000003</v>
      </c>
      <c r="G148" s="9">
        <f t="shared" si="4"/>
        <v>0</v>
      </c>
      <c r="H148" s="9">
        <f t="shared" si="5"/>
        <v>0</v>
      </c>
      <c r="I148" s="8" t="s">
        <v>189</v>
      </c>
    </row>
    <row r="149" spans="2:9" x14ac:dyDescent="0.3">
      <c r="B149" s="8" t="s">
        <v>206</v>
      </c>
      <c r="C149" s="8" t="s">
        <v>207</v>
      </c>
      <c r="D149" s="9">
        <v>-1.25</v>
      </c>
      <c r="E149" s="9">
        <v>1907.8</v>
      </c>
      <c r="F149" s="9">
        <v>1907.85</v>
      </c>
      <c r="G149" s="9">
        <f t="shared" si="4"/>
        <v>-4.9999999999954525E-2</v>
      </c>
      <c r="H149" s="9">
        <f t="shared" si="5"/>
        <v>-1.2999999999999545</v>
      </c>
      <c r="I149" s="8" t="s">
        <v>189</v>
      </c>
    </row>
    <row r="150" spans="2:9" x14ac:dyDescent="0.3">
      <c r="B150" s="8" t="s">
        <v>622</v>
      </c>
      <c r="C150" s="8" t="s">
        <v>623</v>
      </c>
      <c r="D150" s="9">
        <v>-211.76</v>
      </c>
      <c r="E150" s="9">
        <v>211.76</v>
      </c>
      <c r="F150" s="9">
        <v>0</v>
      </c>
      <c r="G150" s="9">
        <f t="shared" si="4"/>
        <v>211.76</v>
      </c>
      <c r="H150" s="9">
        <f t="shared" si="5"/>
        <v>0</v>
      </c>
      <c r="I150" s="8" t="s">
        <v>189</v>
      </c>
    </row>
    <row r="151" spans="2:9" x14ac:dyDescent="0.3">
      <c r="B151" s="8" t="s">
        <v>539</v>
      </c>
      <c r="C151" s="8" t="s">
        <v>540</v>
      </c>
      <c r="D151" s="9">
        <v>-481309.19</v>
      </c>
      <c r="E151" s="9">
        <v>0</v>
      </c>
      <c r="F151" s="9">
        <v>0</v>
      </c>
      <c r="G151" s="9">
        <f t="shared" si="4"/>
        <v>0</v>
      </c>
      <c r="H151" s="9">
        <f t="shared" si="5"/>
        <v>-481309.19</v>
      </c>
      <c r="I151" s="8" t="s">
        <v>189</v>
      </c>
    </row>
    <row r="152" spans="2:9" x14ac:dyDescent="0.3">
      <c r="B152" s="8" t="s">
        <v>208</v>
      </c>
      <c r="C152" s="8" t="s">
        <v>209</v>
      </c>
      <c r="D152" s="9">
        <v>955525.45</v>
      </c>
      <c r="E152" s="9">
        <v>418224.59</v>
      </c>
      <c r="F152" s="9">
        <v>915531.23</v>
      </c>
      <c r="G152" s="9">
        <f t="shared" si="4"/>
        <v>-497306.63999999996</v>
      </c>
      <c r="H152" s="9">
        <f t="shared" si="5"/>
        <v>458218.81</v>
      </c>
      <c r="I152" s="8" t="s">
        <v>189</v>
      </c>
    </row>
    <row r="153" spans="2:9" x14ac:dyDescent="0.3">
      <c r="B153" s="8" t="s">
        <v>624</v>
      </c>
      <c r="C153" s="8" t="s">
        <v>625</v>
      </c>
      <c r="D153" s="9">
        <v>80500</v>
      </c>
      <c r="E153" s="9">
        <v>0</v>
      </c>
      <c r="F153" s="9">
        <v>80500</v>
      </c>
      <c r="G153" s="9">
        <f t="shared" si="4"/>
        <v>-80500</v>
      </c>
      <c r="H153" s="9">
        <f t="shared" si="5"/>
        <v>0</v>
      </c>
      <c r="I153" s="8" t="s">
        <v>189</v>
      </c>
    </row>
    <row r="154" spans="2:9" x14ac:dyDescent="0.3">
      <c r="B154" s="8" t="s">
        <v>541</v>
      </c>
      <c r="C154" s="8" t="s">
        <v>542</v>
      </c>
      <c r="D154" s="9">
        <v>20945.27</v>
      </c>
      <c r="E154" s="9">
        <v>0</v>
      </c>
      <c r="F154" s="9">
        <v>0</v>
      </c>
      <c r="G154" s="9">
        <f t="shared" si="4"/>
        <v>0</v>
      </c>
      <c r="H154" s="9">
        <f t="shared" si="5"/>
        <v>20945.27</v>
      </c>
      <c r="I154" s="8" t="s">
        <v>189</v>
      </c>
    </row>
    <row r="155" spans="2:9" x14ac:dyDescent="0.3">
      <c r="B155" s="8" t="s">
        <v>675</v>
      </c>
      <c r="C155" s="8" t="s">
        <v>676</v>
      </c>
      <c r="D155" s="9">
        <v>0</v>
      </c>
      <c r="E155" s="9">
        <v>1857</v>
      </c>
      <c r="F155" s="9">
        <v>1857.25</v>
      </c>
      <c r="G155" s="9">
        <f t="shared" si="4"/>
        <v>-0.25</v>
      </c>
      <c r="H155" s="9">
        <f t="shared" si="5"/>
        <v>-0.25</v>
      </c>
      <c r="I155" s="8" t="s">
        <v>189</v>
      </c>
    </row>
    <row r="156" spans="2:9" x14ac:dyDescent="0.3">
      <c r="B156" s="8" t="s">
        <v>543</v>
      </c>
      <c r="C156" s="8" t="s">
        <v>544</v>
      </c>
      <c r="D156" s="9">
        <v>-68501.179999999993</v>
      </c>
      <c r="E156" s="9">
        <v>0</v>
      </c>
      <c r="F156" s="9">
        <v>24813.46</v>
      </c>
      <c r="G156" s="9">
        <f t="shared" si="4"/>
        <v>-24813.46</v>
      </c>
      <c r="H156" s="9">
        <f t="shared" si="5"/>
        <v>-93314.639999999985</v>
      </c>
      <c r="I156" s="8" t="s">
        <v>189</v>
      </c>
    </row>
    <row r="157" spans="2:9" x14ac:dyDescent="0.3">
      <c r="B157" s="8" t="s">
        <v>547</v>
      </c>
      <c r="C157" s="8" t="s">
        <v>548</v>
      </c>
      <c r="D157" s="9">
        <v>-71000</v>
      </c>
      <c r="E157" s="9">
        <v>0</v>
      </c>
      <c r="F157" s="9">
        <v>0</v>
      </c>
      <c r="G157" s="9">
        <f t="shared" si="4"/>
        <v>0</v>
      </c>
      <c r="H157" s="9">
        <f t="shared" si="5"/>
        <v>-71000</v>
      </c>
      <c r="I157" s="8" t="s">
        <v>189</v>
      </c>
    </row>
    <row r="158" spans="2:9" x14ac:dyDescent="0.3">
      <c r="B158" s="8" t="s">
        <v>549</v>
      </c>
      <c r="C158" s="8" t="s">
        <v>550</v>
      </c>
      <c r="D158" s="9">
        <v>-374265.46</v>
      </c>
      <c r="E158" s="9">
        <v>0</v>
      </c>
      <c r="F158" s="9">
        <v>0</v>
      </c>
      <c r="G158" s="9">
        <f t="shared" si="4"/>
        <v>0</v>
      </c>
      <c r="H158" s="9">
        <f t="shared" si="5"/>
        <v>-374265.46</v>
      </c>
      <c r="I158" s="8" t="s">
        <v>189</v>
      </c>
    </row>
    <row r="159" spans="2:9" x14ac:dyDescent="0.3">
      <c r="B159" s="8" t="s">
        <v>210</v>
      </c>
      <c r="C159" s="8" t="s">
        <v>211</v>
      </c>
      <c r="D159" s="9">
        <v>0.45</v>
      </c>
      <c r="E159" s="9">
        <v>4974</v>
      </c>
      <c r="F159" s="9">
        <v>4974.1000000000004</v>
      </c>
      <c r="G159" s="9">
        <f t="shared" si="4"/>
        <v>-0.1000000000003638</v>
      </c>
      <c r="H159" s="9">
        <f t="shared" si="5"/>
        <v>0.34999999999963621</v>
      </c>
      <c r="I159" s="8" t="s">
        <v>189</v>
      </c>
    </row>
    <row r="160" spans="2:9" x14ac:dyDescent="0.3">
      <c r="B160" s="8" t="s">
        <v>626</v>
      </c>
      <c r="C160" s="8" t="s">
        <v>627</v>
      </c>
      <c r="D160" s="9">
        <v>-294973.39</v>
      </c>
      <c r="E160" s="9">
        <v>0</v>
      </c>
      <c r="F160" s="9">
        <v>0</v>
      </c>
      <c r="G160" s="9">
        <f t="shared" si="4"/>
        <v>0</v>
      </c>
      <c r="H160" s="9">
        <f t="shared" si="5"/>
        <v>-294973.39</v>
      </c>
      <c r="I160" s="8" t="s">
        <v>189</v>
      </c>
    </row>
    <row r="161" spans="2:9" x14ac:dyDescent="0.3">
      <c r="B161" s="8" t="s">
        <v>677</v>
      </c>
      <c r="C161" s="8" t="s">
        <v>678</v>
      </c>
      <c r="D161" s="9">
        <v>0</v>
      </c>
      <c r="E161" s="9">
        <v>732828.3</v>
      </c>
      <c r="F161" s="9">
        <v>732828.3</v>
      </c>
      <c r="G161" s="9">
        <f t="shared" si="4"/>
        <v>0</v>
      </c>
      <c r="H161" s="9">
        <f t="shared" si="5"/>
        <v>0</v>
      </c>
      <c r="I161" s="8" t="s">
        <v>189</v>
      </c>
    </row>
    <row r="162" spans="2:9" x14ac:dyDescent="0.3">
      <c r="B162" s="8" t="s">
        <v>212</v>
      </c>
      <c r="C162" s="8" t="s">
        <v>213</v>
      </c>
      <c r="D162" s="9">
        <v>-254055.93</v>
      </c>
      <c r="E162" s="9">
        <v>800238.48</v>
      </c>
      <c r="F162" s="9">
        <v>594868.94999999995</v>
      </c>
      <c r="G162" s="9">
        <f t="shared" si="4"/>
        <v>205369.53000000003</v>
      </c>
      <c r="H162" s="9">
        <f t="shared" si="5"/>
        <v>-48686.399999999965</v>
      </c>
      <c r="I162" s="8" t="s">
        <v>189</v>
      </c>
    </row>
    <row r="163" spans="2:9" x14ac:dyDescent="0.3">
      <c r="B163" s="8" t="s">
        <v>214</v>
      </c>
      <c r="C163" s="8" t="s">
        <v>215</v>
      </c>
      <c r="D163" s="9">
        <v>-199956.1</v>
      </c>
      <c r="E163" s="9">
        <v>1154519.3500000001</v>
      </c>
      <c r="F163" s="9">
        <v>1533066.78</v>
      </c>
      <c r="G163" s="9">
        <f t="shared" si="4"/>
        <v>-378547.42999999993</v>
      </c>
      <c r="H163" s="9">
        <f t="shared" si="5"/>
        <v>-578503.52999999991</v>
      </c>
      <c r="I163" s="8" t="s">
        <v>189</v>
      </c>
    </row>
    <row r="164" spans="2:9" x14ac:dyDescent="0.3">
      <c r="B164" s="15" t="s">
        <v>216</v>
      </c>
      <c r="C164" s="15" t="s">
        <v>217</v>
      </c>
      <c r="D164" s="17"/>
      <c r="E164" s="17"/>
      <c r="F164" s="17"/>
      <c r="G164" s="17"/>
      <c r="H164" s="17"/>
      <c r="I164" s="15"/>
    </row>
    <row r="165" spans="2:9" x14ac:dyDescent="0.3">
      <c r="B165" s="8" t="s">
        <v>218</v>
      </c>
      <c r="C165" s="8" t="s">
        <v>219</v>
      </c>
      <c r="D165" s="9">
        <v>-136389.01999999999</v>
      </c>
      <c r="E165" s="9">
        <v>209823.08</v>
      </c>
      <c r="F165" s="9">
        <v>142604.94</v>
      </c>
      <c r="G165" s="9">
        <f t="shared" si="4"/>
        <v>67218.139999999985</v>
      </c>
      <c r="H165" s="9">
        <f t="shared" si="5"/>
        <v>-69170.880000000005</v>
      </c>
      <c r="I165" s="8" t="s">
        <v>220</v>
      </c>
    </row>
    <row r="166" spans="2:9" x14ac:dyDescent="0.3">
      <c r="B166" s="8" t="s">
        <v>551</v>
      </c>
      <c r="C166" s="8" t="s">
        <v>552</v>
      </c>
      <c r="D166" s="9">
        <v>-5525.75</v>
      </c>
      <c r="E166" s="9">
        <v>1069.5</v>
      </c>
      <c r="F166" s="9">
        <v>0</v>
      </c>
      <c r="G166" s="9">
        <f t="shared" si="4"/>
        <v>1069.5</v>
      </c>
      <c r="H166" s="9">
        <f t="shared" si="5"/>
        <v>-4456.25</v>
      </c>
      <c r="I166" s="8" t="s">
        <v>220</v>
      </c>
    </row>
    <row r="167" spans="2:9" x14ac:dyDescent="0.3">
      <c r="B167" s="8" t="s">
        <v>553</v>
      </c>
      <c r="C167" s="8" t="s">
        <v>554</v>
      </c>
      <c r="D167" s="9">
        <v>-24857.94</v>
      </c>
      <c r="E167" s="9">
        <v>0</v>
      </c>
      <c r="F167" s="9">
        <v>0</v>
      </c>
      <c r="G167" s="9">
        <f t="shared" si="4"/>
        <v>0</v>
      </c>
      <c r="H167" s="9">
        <f t="shared" si="5"/>
        <v>-24857.94</v>
      </c>
      <c r="I167" s="8" t="s">
        <v>220</v>
      </c>
    </row>
    <row r="168" spans="2:9" x14ac:dyDescent="0.3">
      <c r="B168" s="15" t="s">
        <v>221</v>
      </c>
      <c r="C168" s="15" t="s">
        <v>222</v>
      </c>
      <c r="D168" s="17"/>
      <c r="E168" s="17"/>
      <c r="F168" s="17"/>
      <c r="G168" s="17"/>
      <c r="H168" s="17"/>
      <c r="I168" s="15"/>
    </row>
    <row r="169" spans="2:9" x14ac:dyDescent="0.3">
      <c r="B169" s="8" t="s">
        <v>555</v>
      </c>
      <c r="C169" s="8" t="s">
        <v>556</v>
      </c>
      <c r="D169" s="9">
        <v>500000</v>
      </c>
      <c r="E169" s="9">
        <v>0</v>
      </c>
      <c r="F169" s="9">
        <v>0</v>
      </c>
      <c r="G169" s="9">
        <f t="shared" si="4"/>
        <v>0</v>
      </c>
      <c r="H169" s="9">
        <f t="shared" si="5"/>
        <v>500000</v>
      </c>
      <c r="I169" s="8" t="s">
        <v>225</v>
      </c>
    </row>
    <row r="170" spans="2:9" x14ac:dyDescent="0.3">
      <c r="B170" s="8" t="s">
        <v>630</v>
      </c>
      <c r="C170" s="8" t="s">
        <v>631</v>
      </c>
      <c r="D170" s="9">
        <v>-6100.53</v>
      </c>
      <c r="E170" s="9">
        <v>29440</v>
      </c>
      <c r="F170" s="9">
        <v>0</v>
      </c>
      <c r="G170" s="9">
        <f t="shared" si="4"/>
        <v>29440</v>
      </c>
      <c r="H170" s="9">
        <f t="shared" si="5"/>
        <v>23339.47</v>
      </c>
      <c r="I170" s="8" t="s">
        <v>225</v>
      </c>
    </row>
    <row r="171" spans="2:9" x14ac:dyDescent="0.3">
      <c r="B171" s="15" t="s">
        <v>226</v>
      </c>
      <c r="C171" s="15" t="s">
        <v>227</v>
      </c>
      <c r="D171" s="17"/>
      <c r="E171" s="17"/>
      <c r="F171" s="17"/>
      <c r="G171" s="17"/>
      <c r="H171" s="17"/>
      <c r="I171" s="15"/>
    </row>
    <row r="172" spans="2:9" x14ac:dyDescent="0.3">
      <c r="B172" s="8" t="s">
        <v>228</v>
      </c>
      <c r="C172" s="8" t="s">
        <v>229</v>
      </c>
      <c r="D172" s="9">
        <v>-186025.46</v>
      </c>
      <c r="E172" s="9">
        <v>2421.63</v>
      </c>
      <c r="F172" s="9">
        <v>0</v>
      </c>
      <c r="G172" s="9">
        <f t="shared" si="4"/>
        <v>2421.63</v>
      </c>
      <c r="H172" s="9">
        <f t="shared" si="5"/>
        <v>-183603.83</v>
      </c>
      <c r="I172" s="8" t="s">
        <v>230</v>
      </c>
    </row>
    <row r="173" spans="2:9" x14ac:dyDescent="0.3">
      <c r="B173" s="8" t="s">
        <v>231</v>
      </c>
      <c r="C173" s="8" t="s">
        <v>232</v>
      </c>
      <c r="D173" s="9">
        <v>474445.77</v>
      </c>
      <c r="E173" s="9">
        <v>140372.17000000001</v>
      </c>
      <c r="F173" s="9">
        <v>0</v>
      </c>
      <c r="G173" s="9">
        <f t="shared" si="4"/>
        <v>140372.17000000001</v>
      </c>
      <c r="H173" s="9">
        <f t="shared" si="5"/>
        <v>614817.94000000006</v>
      </c>
      <c r="I173" s="8" t="s">
        <v>230</v>
      </c>
    </row>
    <row r="174" spans="2:9" x14ac:dyDescent="0.3">
      <c r="B174" s="8" t="s">
        <v>632</v>
      </c>
      <c r="C174" s="8" t="s">
        <v>633</v>
      </c>
      <c r="D174" s="9">
        <v>250000</v>
      </c>
      <c r="E174" s="9">
        <v>0</v>
      </c>
      <c r="F174" s="9">
        <v>0</v>
      </c>
      <c r="G174" s="9">
        <f t="shared" si="4"/>
        <v>0</v>
      </c>
      <c r="H174" s="9">
        <f t="shared" si="5"/>
        <v>250000</v>
      </c>
      <c r="I174" s="8" t="s">
        <v>230</v>
      </c>
    </row>
    <row r="175" spans="2:9" x14ac:dyDescent="0.3">
      <c r="B175" s="8" t="s">
        <v>557</v>
      </c>
      <c r="C175" s="8" t="s">
        <v>558</v>
      </c>
      <c r="D175" s="9">
        <v>-293733.52</v>
      </c>
      <c r="E175" s="9">
        <v>53187.53</v>
      </c>
      <c r="F175" s="9">
        <v>0</v>
      </c>
      <c r="G175" s="9">
        <f t="shared" si="4"/>
        <v>53187.53</v>
      </c>
      <c r="H175" s="9">
        <f t="shared" si="5"/>
        <v>-240545.99000000002</v>
      </c>
      <c r="I175" s="8" t="s">
        <v>230</v>
      </c>
    </row>
    <row r="176" spans="2:9" x14ac:dyDescent="0.3">
      <c r="B176" s="8" t="s">
        <v>233</v>
      </c>
      <c r="C176" s="8" t="s">
        <v>234</v>
      </c>
      <c r="D176" s="9">
        <v>16238.51</v>
      </c>
      <c r="E176" s="9">
        <v>14840.6</v>
      </c>
      <c r="F176" s="9">
        <v>0</v>
      </c>
      <c r="G176" s="9">
        <f t="shared" si="4"/>
        <v>14840.6</v>
      </c>
      <c r="H176" s="9">
        <f t="shared" si="5"/>
        <v>31079.11</v>
      </c>
      <c r="I176" s="8" t="s">
        <v>230</v>
      </c>
    </row>
    <row r="177" spans="2:9" x14ac:dyDescent="0.3">
      <c r="B177" s="8" t="s">
        <v>679</v>
      </c>
      <c r="C177" s="8" t="s">
        <v>680</v>
      </c>
      <c r="D177" s="9">
        <v>0</v>
      </c>
      <c r="E177" s="9">
        <v>0</v>
      </c>
      <c r="F177" s="9">
        <v>200000</v>
      </c>
      <c r="G177" s="9">
        <f t="shared" si="4"/>
        <v>-200000</v>
      </c>
      <c r="H177" s="9">
        <f t="shared" si="5"/>
        <v>-200000</v>
      </c>
      <c r="I177" s="8" t="s">
        <v>230</v>
      </c>
    </row>
    <row r="178" spans="2:9" x14ac:dyDescent="0.3">
      <c r="B178" s="8" t="s">
        <v>235</v>
      </c>
      <c r="C178" s="8" t="s">
        <v>236</v>
      </c>
      <c r="D178" s="9">
        <v>1088282.7</v>
      </c>
      <c r="E178" s="9">
        <v>905722.11</v>
      </c>
      <c r="F178" s="9">
        <v>670741.06999999995</v>
      </c>
      <c r="G178" s="9">
        <f t="shared" si="4"/>
        <v>234981.04000000004</v>
      </c>
      <c r="H178" s="9">
        <f t="shared" si="5"/>
        <v>1323263.74</v>
      </c>
      <c r="I178" s="8" t="s">
        <v>230</v>
      </c>
    </row>
    <row r="179" spans="2:9" x14ac:dyDescent="0.3">
      <c r="B179" s="8" t="s">
        <v>237</v>
      </c>
      <c r="C179" s="8" t="s">
        <v>238</v>
      </c>
      <c r="D179" s="9">
        <v>-503112.35</v>
      </c>
      <c r="E179" s="9">
        <v>30368</v>
      </c>
      <c r="F179" s="9">
        <v>5462.5</v>
      </c>
      <c r="G179" s="9">
        <f t="shared" si="4"/>
        <v>24905.5</v>
      </c>
      <c r="H179" s="9">
        <f t="shared" si="5"/>
        <v>-478206.85</v>
      </c>
      <c r="I179" s="8" t="s">
        <v>230</v>
      </c>
    </row>
    <row r="180" spans="2:9" x14ac:dyDescent="0.3">
      <c r="B180" s="15" t="s">
        <v>559</v>
      </c>
      <c r="C180" s="15" t="s">
        <v>560</v>
      </c>
      <c r="D180" s="17"/>
      <c r="E180" s="17"/>
      <c r="F180" s="17"/>
      <c r="G180" s="17"/>
      <c r="H180" s="17"/>
      <c r="I180" s="15"/>
    </row>
    <row r="181" spans="2:9" x14ac:dyDescent="0.3">
      <c r="B181" s="8" t="s">
        <v>561</v>
      </c>
      <c r="C181" s="8" t="s">
        <v>562</v>
      </c>
      <c r="D181" s="9">
        <v>-96200</v>
      </c>
      <c r="E181" s="9">
        <v>30000</v>
      </c>
      <c r="F181" s="9">
        <v>0</v>
      </c>
      <c r="G181" s="9">
        <f t="shared" si="4"/>
        <v>30000</v>
      </c>
      <c r="H181" s="9">
        <f t="shared" si="5"/>
        <v>-66200</v>
      </c>
      <c r="I181" s="8" t="s">
        <v>563</v>
      </c>
    </row>
    <row r="182" spans="2:9" x14ac:dyDescent="0.3">
      <c r="B182" s="15" t="s">
        <v>239</v>
      </c>
      <c r="C182" s="15" t="s">
        <v>240</v>
      </c>
      <c r="D182" s="17"/>
      <c r="E182" s="17"/>
      <c r="F182" s="17"/>
      <c r="G182" s="17"/>
      <c r="H182" s="17"/>
      <c r="I182" s="15"/>
    </row>
    <row r="183" spans="2:9" x14ac:dyDescent="0.3">
      <c r="B183" s="8" t="s">
        <v>564</v>
      </c>
      <c r="C183" s="8" t="s">
        <v>565</v>
      </c>
      <c r="D183" s="9">
        <v>-74702.320000000007</v>
      </c>
      <c r="E183" s="9">
        <v>2000</v>
      </c>
      <c r="F183" s="9">
        <v>5159</v>
      </c>
      <c r="G183" s="9">
        <f t="shared" si="4"/>
        <v>-3159</v>
      </c>
      <c r="H183" s="9">
        <f t="shared" si="5"/>
        <v>-77861.320000000007</v>
      </c>
      <c r="I183" s="8" t="s">
        <v>243</v>
      </c>
    </row>
    <row r="184" spans="2:9" x14ac:dyDescent="0.3">
      <c r="B184" s="8" t="s">
        <v>241</v>
      </c>
      <c r="C184" s="8" t="s">
        <v>242</v>
      </c>
      <c r="D184" s="9">
        <v>-68172.42</v>
      </c>
      <c r="E184" s="9">
        <v>7818</v>
      </c>
      <c r="F184" s="9">
        <v>8056</v>
      </c>
      <c r="G184" s="9">
        <f t="shared" si="4"/>
        <v>-238</v>
      </c>
      <c r="H184" s="9">
        <f t="shared" si="5"/>
        <v>-68410.42</v>
      </c>
      <c r="I184" s="8" t="s">
        <v>243</v>
      </c>
    </row>
    <row r="185" spans="2:9" x14ac:dyDescent="0.3">
      <c r="B185" s="15" t="s">
        <v>244</v>
      </c>
      <c r="C185" s="15" t="s">
        <v>245</v>
      </c>
      <c r="D185" s="17"/>
      <c r="E185" s="17"/>
      <c r="F185" s="17"/>
      <c r="G185" s="17"/>
      <c r="H185" s="17"/>
      <c r="I185" s="15"/>
    </row>
    <row r="186" spans="2:9" x14ac:dyDescent="0.3">
      <c r="B186" s="8" t="s">
        <v>246</v>
      </c>
      <c r="C186" s="8" t="s">
        <v>247</v>
      </c>
      <c r="D186" s="9">
        <v>-337741.9</v>
      </c>
      <c r="E186" s="9">
        <v>0</v>
      </c>
      <c r="F186" s="9">
        <v>11328</v>
      </c>
      <c r="G186" s="9">
        <f t="shared" si="4"/>
        <v>-11328</v>
      </c>
      <c r="H186" s="9">
        <f t="shared" si="5"/>
        <v>-349069.9</v>
      </c>
      <c r="I186" s="8" t="s">
        <v>248</v>
      </c>
    </row>
    <row r="187" spans="2:9" x14ac:dyDescent="0.3">
      <c r="B187" s="15" t="s">
        <v>249</v>
      </c>
      <c r="C187" s="15" t="s">
        <v>250</v>
      </c>
      <c r="D187" s="17"/>
      <c r="E187" s="17"/>
      <c r="F187" s="17"/>
      <c r="G187" s="17"/>
      <c r="H187" s="17"/>
      <c r="I187" s="15"/>
    </row>
    <row r="188" spans="2:9" x14ac:dyDescent="0.3">
      <c r="B188" s="8" t="s">
        <v>251</v>
      </c>
      <c r="C188" s="8" t="s">
        <v>252</v>
      </c>
      <c r="D188" s="9">
        <v>-136859.15</v>
      </c>
      <c r="E188" s="9">
        <v>1533986.81</v>
      </c>
      <c r="F188" s="9">
        <v>1533066.78</v>
      </c>
      <c r="G188" s="9">
        <f t="shared" si="4"/>
        <v>920.03000000002794</v>
      </c>
      <c r="H188" s="9">
        <f t="shared" si="5"/>
        <v>-135939.11999999997</v>
      </c>
      <c r="I188" s="8" t="s">
        <v>253</v>
      </c>
    </row>
    <row r="189" spans="2:9" x14ac:dyDescent="0.3">
      <c r="B189" s="8" t="s">
        <v>254</v>
      </c>
      <c r="C189" s="8" t="s">
        <v>255</v>
      </c>
      <c r="D189" s="9">
        <v>-29823.07</v>
      </c>
      <c r="E189" s="9">
        <v>0</v>
      </c>
      <c r="F189" s="9">
        <v>0</v>
      </c>
      <c r="G189" s="9">
        <f t="shared" si="4"/>
        <v>0</v>
      </c>
      <c r="H189" s="9">
        <f t="shared" si="5"/>
        <v>-29823.07</v>
      </c>
      <c r="I189" s="8" t="s">
        <v>253</v>
      </c>
    </row>
    <row r="190" spans="2:9" x14ac:dyDescent="0.3">
      <c r="B190" s="15" t="s">
        <v>256</v>
      </c>
      <c r="C190" s="15" t="s">
        <v>257</v>
      </c>
      <c r="D190" s="17"/>
      <c r="E190" s="17"/>
      <c r="F190" s="17"/>
      <c r="G190" s="17"/>
      <c r="H190" s="17"/>
      <c r="I190" s="15"/>
    </row>
    <row r="191" spans="2:9" x14ac:dyDescent="0.3">
      <c r="B191" s="8" t="s">
        <v>258</v>
      </c>
      <c r="C191" s="8" t="s">
        <v>259</v>
      </c>
      <c r="D191" s="9">
        <v>-3426493.55</v>
      </c>
      <c r="E191" s="9">
        <v>13468000</v>
      </c>
      <c r="F191" s="9">
        <v>14868825.560000001</v>
      </c>
      <c r="G191" s="9">
        <f t="shared" si="4"/>
        <v>-1400825.5600000005</v>
      </c>
      <c r="H191" s="9">
        <f t="shared" si="5"/>
        <v>-4827319.1100000003</v>
      </c>
      <c r="I191" s="8" t="s">
        <v>260</v>
      </c>
    </row>
    <row r="192" spans="2:9" x14ac:dyDescent="0.3">
      <c r="B192" s="8" t="s">
        <v>261</v>
      </c>
      <c r="C192" s="8" t="s">
        <v>262</v>
      </c>
      <c r="D192" s="9">
        <v>-733648.56</v>
      </c>
      <c r="E192" s="9">
        <v>0</v>
      </c>
      <c r="F192" s="9">
        <v>254331.3</v>
      </c>
      <c r="G192" s="9">
        <f t="shared" si="4"/>
        <v>-254331.3</v>
      </c>
      <c r="H192" s="9">
        <f t="shared" si="5"/>
        <v>-987979.8600000001</v>
      </c>
      <c r="I192" s="8" t="s">
        <v>260</v>
      </c>
    </row>
    <row r="193" spans="2:9" x14ac:dyDescent="0.3">
      <c r="B193" s="15" t="s">
        <v>263</v>
      </c>
      <c r="C193" s="15" t="s">
        <v>264</v>
      </c>
      <c r="D193" s="17"/>
      <c r="E193" s="17"/>
      <c r="F193" s="17"/>
      <c r="G193" s="17"/>
      <c r="H193" s="17"/>
      <c r="I193" s="15"/>
    </row>
    <row r="194" spans="2:9" x14ac:dyDescent="0.3">
      <c r="B194" s="8" t="s">
        <v>681</v>
      </c>
      <c r="C194" s="8" t="s">
        <v>682</v>
      </c>
      <c r="D194" s="9">
        <v>0</v>
      </c>
      <c r="E194" s="9">
        <v>3200</v>
      </c>
      <c r="F194" s="9">
        <v>0</v>
      </c>
      <c r="G194" s="9">
        <f t="shared" si="4"/>
        <v>3200</v>
      </c>
      <c r="H194" s="9">
        <f t="shared" si="5"/>
        <v>3200</v>
      </c>
      <c r="I194" s="8" t="s">
        <v>267</v>
      </c>
    </row>
    <row r="195" spans="2:9" x14ac:dyDescent="0.3">
      <c r="B195" s="8" t="s">
        <v>566</v>
      </c>
      <c r="C195" s="8" t="s">
        <v>567</v>
      </c>
      <c r="D195" s="9">
        <v>2249</v>
      </c>
      <c r="E195" s="9">
        <v>0</v>
      </c>
      <c r="F195" s="9">
        <v>0</v>
      </c>
      <c r="G195" s="9">
        <f t="shared" si="4"/>
        <v>0</v>
      </c>
      <c r="H195" s="9">
        <f t="shared" si="5"/>
        <v>2249</v>
      </c>
      <c r="I195" s="8" t="s">
        <v>267</v>
      </c>
    </row>
    <row r="196" spans="2:9" x14ac:dyDescent="0.3">
      <c r="B196" s="8" t="s">
        <v>568</v>
      </c>
      <c r="C196" s="8" t="s">
        <v>569</v>
      </c>
      <c r="D196" s="9">
        <v>50</v>
      </c>
      <c r="E196" s="9">
        <v>650</v>
      </c>
      <c r="F196" s="9">
        <v>0</v>
      </c>
      <c r="G196" s="9">
        <f t="shared" si="4"/>
        <v>650</v>
      </c>
      <c r="H196" s="9">
        <f t="shared" si="5"/>
        <v>700</v>
      </c>
      <c r="I196" s="8" t="s">
        <v>267</v>
      </c>
    </row>
    <row r="197" spans="2:9" x14ac:dyDescent="0.3">
      <c r="B197" s="8" t="s">
        <v>683</v>
      </c>
      <c r="C197" s="8" t="s">
        <v>684</v>
      </c>
      <c r="D197" s="9">
        <v>0</v>
      </c>
      <c r="E197" s="9">
        <v>1115</v>
      </c>
      <c r="F197" s="9">
        <v>0</v>
      </c>
      <c r="G197" s="9">
        <f t="shared" si="4"/>
        <v>1115</v>
      </c>
      <c r="H197" s="9">
        <f t="shared" si="5"/>
        <v>1115</v>
      </c>
      <c r="I197" s="8" t="s">
        <v>267</v>
      </c>
    </row>
    <row r="198" spans="2:9" x14ac:dyDescent="0.3">
      <c r="B198" s="8" t="s">
        <v>265</v>
      </c>
      <c r="C198" s="8" t="s">
        <v>266</v>
      </c>
      <c r="D198" s="9">
        <v>8777</v>
      </c>
      <c r="E198" s="9">
        <v>10854</v>
      </c>
      <c r="F198" s="9">
        <v>300</v>
      </c>
      <c r="G198" s="9">
        <f t="shared" si="4"/>
        <v>10554</v>
      </c>
      <c r="H198" s="9">
        <f t="shared" si="5"/>
        <v>19331</v>
      </c>
      <c r="I198" s="8" t="s">
        <v>267</v>
      </c>
    </row>
    <row r="199" spans="2:9" x14ac:dyDescent="0.3">
      <c r="B199" s="8" t="s">
        <v>268</v>
      </c>
      <c r="C199" s="8" t="s">
        <v>269</v>
      </c>
      <c r="D199" s="9">
        <v>64102</v>
      </c>
      <c r="E199" s="9">
        <v>33138</v>
      </c>
      <c r="F199" s="9">
        <v>0</v>
      </c>
      <c r="G199" s="9">
        <f t="shared" si="4"/>
        <v>33138</v>
      </c>
      <c r="H199" s="9">
        <f t="shared" si="5"/>
        <v>97240</v>
      </c>
      <c r="I199" s="8" t="s">
        <v>267</v>
      </c>
    </row>
    <row r="200" spans="2:9" x14ac:dyDescent="0.3">
      <c r="B200" s="8" t="s">
        <v>634</v>
      </c>
      <c r="C200" s="8" t="s">
        <v>635</v>
      </c>
      <c r="D200" s="9">
        <v>1817.54</v>
      </c>
      <c r="E200" s="9">
        <v>1826.16</v>
      </c>
      <c r="F200" s="9">
        <v>2260</v>
      </c>
      <c r="G200" s="9">
        <f t="shared" si="4"/>
        <v>-433.83999999999992</v>
      </c>
      <c r="H200" s="9">
        <f t="shared" si="5"/>
        <v>1383.7</v>
      </c>
      <c r="I200" s="8" t="s">
        <v>267</v>
      </c>
    </row>
    <row r="201" spans="2:9" x14ac:dyDescent="0.3">
      <c r="B201" s="8" t="s">
        <v>270</v>
      </c>
      <c r="C201" s="8" t="s">
        <v>271</v>
      </c>
      <c r="D201" s="9">
        <v>2490726.8199999998</v>
      </c>
      <c r="E201" s="9">
        <v>9229231.9900000002</v>
      </c>
      <c r="F201" s="9">
        <v>8307613.3700000001</v>
      </c>
      <c r="G201" s="9">
        <f t="shared" ref="G201:G264" si="6">E201-F201</f>
        <v>921618.62000000011</v>
      </c>
      <c r="H201" s="9">
        <f t="shared" ref="H201:H264" si="7">D201+G201</f>
        <v>3412345.44</v>
      </c>
      <c r="I201" s="8" t="s">
        <v>267</v>
      </c>
    </row>
    <row r="202" spans="2:9" x14ac:dyDescent="0.3">
      <c r="B202" s="8" t="s">
        <v>272</v>
      </c>
      <c r="C202" s="8" t="s">
        <v>273</v>
      </c>
      <c r="D202" s="9">
        <v>17963.330000000002</v>
      </c>
      <c r="E202" s="9">
        <v>20374.36</v>
      </c>
      <c r="F202" s="9">
        <v>11446.42</v>
      </c>
      <c r="G202" s="9">
        <f t="shared" si="6"/>
        <v>8927.94</v>
      </c>
      <c r="H202" s="9">
        <f t="shared" si="7"/>
        <v>26891.270000000004</v>
      </c>
      <c r="I202" s="8" t="s">
        <v>267</v>
      </c>
    </row>
    <row r="203" spans="2:9" x14ac:dyDescent="0.3">
      <c r="B203" s="8" t="s">
        <v>274</v>
      </c>
      <c r="C203" s="8" t="s">
        <v>275</v>
      </c>
      <c r="D203" s="9">
        <v>-156292.15</v>
      </c>
      <c r="E203" s="9">
        <v>0</v>
      </c>
      <c r="F203" s="9">
        <v>0</v>
      </c>
      <c r="G203" s="9">
        <f t="shared" si="6"/>
        <v>0</v>
      </c>
      <c r="H203" s="9">
        <f t="shared" si="7"/>
        <v>-156292.15</v>
      </c>
      <c r="I203" s="8" t="s">
        <v>267</v>
      </c>
    </row>
    <row r="204" spans="2:9" x14ac:dyDescent="0.3">
      <c r="B204" s="15" t="s">
        <v>276</v>
      </c>
      <c r="C204" s="15" t="s">
        <v>277</v>
      </c>
      <c r="D204" s="17"/>
      <c r="E204" s="17"/>
      <c r="F204" s="17"/>
      <c r="G204" s="17"/>
      <c r="H204" s="17"/>
      <c r="I204" s="15"/>
    </row>
    <row r="205" spans="2:9" x14ac:dyDescent="0.3">
      <c r="B205" s="8" t="s">
        <v>278</v>
      </c>
      <c r="C205" s="8" t="s">
        <v>279</v>
      </c>
      <c r="D205" s="9">
        <v>420343</v>
      </c>
      <c r="E205" s="9">
        <v>139162</v>
      </c>
      <c r="F205" s="9">
        <v>0</v>
      </c>
      <c r="G205" s="9">
        <f t="shared" si="6"/>
        <v>139162</v>
      </c>
      <c r="H205" s="9">
        <f t="shared" si="7"/>
        <v>559505</v>
      </c>
      <c r="I205" s="8" t="s">
        <v>280</v>
      </c>
    </row>
    <row r="206" spans="2:9" x14ac:dyDescent="0.3">
      <c r="B206" s="8" t="s">
        <v>281</v>
      </c>
      <c r="C206" s="8" t="s">
        <v>282</v>
      </c>
      <c r="D206" s="9">
        <v>35501</v>
      </c>
      <c r="E206" s="9">
        <v>11069</v>
      </c>
      <c r="F206" s="9">
        <v>0</v>
      </c>
      <c r="G206" s="9">
        <f t="shared" si="6"/>
        <v>11069</v>
      </c>
      <c r="H206" s="9">
        <f t="shared" si="7"/>
        <v>46570</v>
      </c>
      <c r="I206" s="8" t="s">
        <v>280</v>
      </c>
    </row>
    <row r="207" spans="2:9" x14ac:dyDescent="0.3">
      <c r="B207" s="8" t="s">
        <v>283</v>
      </c>
      <c r="C207" s="8" t="s">
        <v>284</v>
      </c>
      <c r="D207" s="9">
        <v>48742.239999999998</v>
      </c>
      <c r="E207" s="9">
        <v>16800.34</v>
      </c>
      <c r="F207" s="9">
        <v>731</v>
      </c>
      <c r="G207" s="9">
        <f t="shared" si="6"/>
        <v>16069.34</v>
      </c>
      <c r="H207" s="9">
        <f t="shared" si="7"/>
        <v>64811.58</v>
      </c>
      <c r="I207" s="8" t="s">
        <v>280</v>
      </c>
    </row>
    <row r="208" spans="2:9" x14ac:dyDescent="0.3">
      <c r="B208" s="8" t="s">
        <v>570</v>
      </c>
      <c r="C208" s="8" t="s">
        <v>571</v>
      </c>
      <c r="D208" s="9">
        <v>16</v>
      </c>
      <c r="E208" s="9">
        <v>0</v>
      </c>
      <c r="F208" s="9">
        <v>0</v>
      </c>
      <c r="G208" s="9">
        <f t="shared" si="6"/>
        <v>0</v>
      </c>
      <c r="H208" s="9">
        <f t="shared" si="7"/>
        <v>16</v>
      </c>
      <c r="I208" s="8" t="s">
        <v>280</v>
      </c>
    </row>
    <row r="209" spans="2:9" x14ac:dyDescent="0.3">
      <c r="B209" s="8" t="s">
        <v>285</v>
      </c>
      <c r="C209" s="8" t="s">
        <v>286</v>
      </c>
      <c r="D209" s="9">
        <v>17201.580000000002</v>
      </c>
      <c r="E209" s="9">
        <v>4992</v>
      </c>
      <c r="F209" s="9">
        <v>0</v>
      </c>
      <c r="G209" s="9">
        <f t="shared" si="6"/>
        <v>4992</v>
      </c>
      <c r="H209" s="9">
        <f t="shared" si="7"/>
        <v>22193.58</v>
      </c>
      <c r="I209" s="8" t="s">
        <v>280</v>
      </c>
    </row>
    <row r="210" spans="2:9" x14ac:dyDescent="0.3">
      <c r="B210" s="8" t="s">
        <v>287</v>
      </c>
      <c r="C210" s="8" t="s">
        <v>288</v>
      </c>
      <c r="D210" s="9">
        <v>16943.5</v>
      </c>
      <c r="E210" s="9">
        <v>7639</v>
      </c>
      <c r="F210" s="9">
        <v>0</v>
      </c>
      <c r="G210" s="9">
        <f t="shared" si="6"/>
        <v>7639</v>
      </c>
      <c r="H210" s="9">
        <f t="shared" si="7"/>
        <v>24582.5</v>
      </c>
      <c r="I210" s="8" t="s">
        <v>280</v>
      </c>
    </row>
    <row r="211" spans="2:9" x14ac:dyDescent="0.3">
      <c r="B211" s="8" t="s">
        <v>289</v>
      </c>
      <c r="C211" s="8" t="s">
        <v>290</v>
      </c>
      <c r="D211" s="9">
        <v>21859</v>
      </c>
      <c r="E211" s="9">
        <v>10786</v>
      </c>
      <c r="F211" s="9">
        <v>0</v>
      </c>
      <c r="G211" s="9">
        <f t="shared" si="6"/>
        <v>10786</v>
      </c>
      <c r="H211" s="9">
        <f t="shared" si="7"/>
        <v>32645</v>
      </c>
      <c r="I211" s="8" t="s">
        <v>280</v>
      </c>
    </row>
    <row r="212" spans="2:9" x14ac:dyDescent="0.3">
      <c r="B212" s="8" t="s">
        <v>636</v>
      </c>
      <c r="C212" s="8" t="s">
        <v>637</v>
      </c>
      <c r="D212" s="9">
        <v>3256.25</v>
      </c>
      <c r="E212" s="9">
        <v>0</v>
      </c>
      <c r="F212" s="9">
        <v>0</v>
      </c>
      <c r="G212" s="9">
        <f t="shared" si="6"/>
        <v>0</v>
      </c>
      <c r="H212" s="9">
        <f t="shared" si="7"/>
        <v>3256.25</v>
      </c>
      <c r="I212" s="8" t="s">
        <v>280</v>
      </c>
    </row>
    <row r="213" spans="2:9" x14ac:dyDescent="0.3">
      <c r="B213" s="8" t="s">
        <v>291</v>
      </c>
      <c r="C213" s="8" t="s">
        <v>292</v>
      </c>
      <c r="D213" s="9">
        <v>1672.74</v>
      </c>
      <c r="E213" s="9">
        <v>60</v>
      </c>
      <c r="F213" s="9">
        <v>0</v>
      </c>
      <c r="G213" s="9">
        <f t="shared" si="6"/>
        <v>60</v>
      </c>
      <c r="H213" s="9">
        <f t="shared" si="7"/>
        <v>1732.74</v>
      </c>
      <c r="I213" s="8" t="s">
        <v>280</v>
      </c>
    </row>
    <row r="214" spans="2:9" x14ac:dyDescent="0.3">
      <c r="B214" s="8" t="s">
        <v>293</v>
      </c>
      <c r="C214" s="8" t="s">
        <v>294</v>
      </c>
      <c r="D214" s="9">
        <v>59564.78</v>
      </c>
      <c r="E214" s="9">
        <v>21576.92</v>
      </c>
      <c r="F214" s="9">
        <v>0</v>
      </c>
      <c r="G214" s="9">
        <f t="shared" si="6"/>
        <v>21576.92</v>
      </c>
      <c r="H214" s="9">
        <f t="shared" si="7"/>
        <v>81141.7</v>
      </c>
      <c r="I214" s="8" t="s">
        <v>280</v>
      </c>
    </row>
    <row r="215" spans="2:9" x14ac:dyDescent="0.3">
      <c r="B215" s="8" t="s">
        <v>295</v>
      </c>
      <c r="C215" s="8" t="s">
        <v>296</v>
      </c>
      <c r="D215" s="9">
        <v>10425</v>
      </c>
      <c r="E215" s="9">
        <v>900</v>
      </c>
      <c r="F215" s="9">
        <v>0</v>
      </c>
      <c r="G215" s="9">
        <f t="shared" si="6"/>
        <v>900</v>
      </c>
      <c r="H215" s="9">
        <f t="shared" si="7"/>
        <v>11325</v>
      </c>
      <c r="I215" s="8" t="s">
        <v>280</v>
      </c>
    </row>
    <row r="216" spans="2:9" x14ac:dyDescent="0.3">
      <c r="B216" s="8" t="s">
        <v>297</v>
      </c>
      <c r="C216" s="8" t="s">
        <v>298</v>
      </c>
      <c r="D216" s="9">
        <v>1300</v>
      </c>
      <c r="E216" s="9">
        <v>0</v>
      </c>
      <c r="F216" s="9">
        <v>0</v>
      </c>
      <c r="G216" s="9">
        <f t="shared" si="6"/>
        <v>0</v>
      </c>
      <c r="H216" s="9">
        <f t="shared" si="7"/>
        <v>1300</v>
      </c>
      <c r="I216" s="8" t="s">
        <v>280</v>
      </c>
    </row>
    <row r="217" spans="2:9" x14ac:dyDescent="0.3">
      <c r="B217" s="8" t="s">
        <v>299</v>
      </c>
      <c r="C217" s="8" t="s">
        <v>300</v>
      </c>
      <c r="D217" s="9">
        <v>26665</v>
      </c>
      <c r="E217" s="9">
        <v>5850</v>
      </c>
      <c r="F217" s="9">
        <v>0</v>
      </c>
      <c r="G217" s="9">
        <f t="shared" si="6"/>
        <v>5850</v>
      </c>
      <c r="H217" s="9">
        <f t="shared" si="7"/>
        <v>32515</v>
      </c>
      <c r="I217" s="8" t="s">
        <v>280</v>
      </c>
    </row>
    <row r="218" spans="2:9" x14ac:dyDescent="0.3">
      <c r="B218" s="15" t="s">
        <v>301</v>
      </c>
      <c r="C218" s="15" t="s">
        <v>302</v>
      </c>
      <c r="D218" s="17"/>
      <c r="E218" s="17"/>
      <c r="F218" s="17"/>
      <c r="G218" s="17"/>
      <c r="H218" s="17"/>
      <c r="I218" s="15"/>
    </row>
    <row r="219" spans="2:9" x14ac:dyDescent="0.3">
      <c r="B219" s="8" t="s">
        <v>303</v>
      </c>
      <c r="C219" s="8" t="s">
        <v>304</v>
      </c>
      <c r="D219" s="9">
        <v>5892.6</v>
      </c>
      <c r="E219" s="9">
        <v>0</v>
      </c>
      <c r="F219" s="9">
        <v>0</v>
      </c>
      <c r="G219" s="9">
        <f t="shared" si="6"/>
        <v>0</v>
      </c>
      <c r="H219" s="9">
        <f t="shared" si="7"/>
        <v>5892.6</v>
      </c>
      <c r="I219" s="8" t="s">
        <v>305</v>
      </c>
    </row>
    <row r="220" spans="2:9" x14ac:dyDescent="0.3">
      <c r="B220" s="8" t="s">
        <v>306</v>
      </c>
      <c r="C220" s="8" t="s">
        <v>307</v>
      </c>
      <c r="D220" s="9">
        <v>37638</v>
      </c>
      <c r="E220" s="9">
        <v>12546</v>
      </c>
      <c r="F220" s="9">
        <v>0</v>
      </c>
      <c r="G220" s="9">
        <f t="shared" si="6"/>
        <v>12546</v>
      </c>
      <c r="H220" s="9">
        <f t="shared" si="7"/>
        <v>50184</v>
      </c>
      <c r="I220" s="8" t="s">
        <v>305</v>
      </c>
    </row>
    <row r="221" spans="2:9" x14ac:dyDescent="0.3">
      <c r="B221" s="8" t="s">
        <v>308</v>
      </c>
      <c r="C221" s="8" t="s">
        <v>309</v>
      </c>
      <c r="D221" s="9">
        <v>600</v>
      </c>
      <c r="E221" s="9">
        <v>450</v>
      </c>
      <c r="F221" s="9">
        <v>0</v>
      </c>
      <c r="G221" s="9">
        <f t="shared" si="6"/>
        <v>450</v>
      </c>
      <c r="H221" s="9">
        <f t="shared" si="7"/>
        <v>1050</v>
      </c>
      <c r="I221" s="8" t="s">
        <v>305</v>
      </c>
    </row>
    <row r="222" spans="2:9" x14ac:dyDescent="0.3">
      <c r="B222" s="15" t="s">
        <v>310</v>
      </c>
      <c r="C222" s="15" t="s">
        <v>311</v>
      </c>
      <c r="D222" s="17"/>
      <c r="E222" s="17"/>
      <c r="F222" s="17"/>
      <c r="G222" s="17"/>
      <c r="H222" s="17"/>
      <c r="I222" s="15"/>
    </row>
    <row r="223" spans="2:9" x14ac:dyDescent="0.3">
      <c r="B223" s="8" t="s">
        <v>312</v>
      </c>
      <c r="C223" s="8" t="s">
        <v>313</v>
      </c>
      <c r="D223" s="9">
        <v>31997.37</v>
      </c>
      <c r="E223" s="9">
        <v>10754.17</v>
      </c>
      <c r="F223" s="9">
        <v>0</v>
      </c>
      <c r="G223" s="9">
        <f t="shared" si="6"/>
        <v>10754.17</v>
      </c>
      <c r="H223" s="9">
        <f t="shared" si="7"/>
        <v>42751.54</v>
      </c>
      <c r="I223" s="8" t="s">
        <v>314</v>
      </c>
    </row>
    <row r="224" spans="2:9" x14ac:dyDescent="0.3">
      <c r="B224" s="8" t="s">
        <v>315</v>
      </c>
      <c r="C224" s="8" t="s">
        <v>316</v>
      </c>
      <c r="D224" s="9">
        <v>245.5</v>
      </c>
      <c r="E224" s="9">
        <v>81.84</v>
      </c>
      <c r="F224" s="9">
        <v>0</v>
      </c>
      <c r="G224" s="9">
        <f t="shared" si="6"/>
        <v>81.84</v>
      </c>
      <c r="H224" s="9">
        <f t="shared" si="7"/>
        <v>327.34000000000003</v>
      </c>
      <c r="I224" s="8" t="s">
        <v>314</v>
      </c>
    </row>
    <row r="225" spans="2:9" x14ac:dyDescent="0.3">
      <c r="B225" s="8" t="s">
        <v>317</v>
      </c>
      <c r="C225" s="8" t="s">
        <v>318</v>
      </c>
      <c r="D225" s="9">
        <v>9469.31</v>
      </c>
      <c r="E225" s="9">
        <v>9567.1200000000008</v>
      </c>
      <c r="F225" s="9">
        <v>0</v>
      </c>
      <c r="G225" s="9">
        <f t="shared" si="6"/>
        <v>9567.1200000000008</v>
      </c>
      <c r="H225" s="9">
        <f t="shared" si="7"/>
        <v>19036.43</v>
      </c>
      <c r="I225" s="8" t="s">
        <v>314</v>
      </c>
    </row>
    <row r="226" spans="2:9" x14ac:dyDescent="0.3">
      <c r="B226" s="8" t="s">
        <v>319</v>
      </c>
      <c r="C226" s="8" t="s">
        <v>320</v>
      </c>
      <c r="D226" s="9">
        <v>1378.71</v>
      </c>
      <c r="E226" s="9">
        <v>459.56</v>
      </c>
      <c r="F226" s="9">
        <v>0</v>
      </c>
      <c r="G226" s="9">
        <f t="shared" si="6"/>
        <v>459.56</v>
      </c>
      <c r="H226" s="9">
        <f t="shared" si="7"/>
        <v>1838.27</v>
      </c>
      <c r="I226" s="8" t="s">
        <v>314</v>
      </c>
    </row>
    <row r="227" spans="2:9" x14ac:dyDescent="0.3">
      <c r="B227" s="8" t="s">
        <v>321</v>
      </c>
      <c r="C227" s="8" t="s">
        <v>322</v>
      </c>
      <c r="D227" s="9">
        <v>759.64</v>
      </c>
      <c r="E227" s="9">
        <v>16299.95</v>
      </c>
      <c r="F227" s="9">
        <v>0</v>
      </c>
      <c r="G227" s="9">
        <f t="shared" si="6"/>
        <v>16299.95</v>
      </c>
      <c r="H227" s="9">
        <f t="shared" si="7"/>
        <v>17059.59</v>
      </c>
      <c r="I227" s="8" t="s">
        <v>314</v>
      </c>
    </row>
    <row r="228" spans="2:9" x14ac:dyDescent="0.3">
      <c r="B228" s="8" t="s">
        <v>323</v>
      </c>
      <c r="C228" s="8" t="s">
        <v>324</v>
      </c>
      <c r="D228" s="9">
        <v>158.37</v>
      </c>
      <c r="E228" s="9">
        <v>52.78</v>
      </c>
      <c r="F228" s="9">
        <v>0</v>
      </c>
      <c r="G228" s="9">
        <f t="shared" si="6"/>
        <v>52.78</v>
      </c>
      <c r="H228" s="9">
        <f t="shared" si="7"/>
        <v>211.15</v>
      </c>
      <c r="I228" s="8" t="s">
        <v>314</v>
      </c>
    </row>
    <row r="229" spans="2:9" x14ac:dyDescent="0.3">
      <c r="B229" s="8" t="s">
        <v>325</v>
      </c>
      <c r="C229" s="8" t="s">
        <v>326</v>
      </c>
      <c r="D229" s="9">
        <v>2562.86</v>
      </c>
      <c r="E229" s="9">
        <v>870.23</v>
      </c>
      <c r="F229" s="9">
        <v>0</v>
      </c>
      <c r="G229" s="9">
        <f t="shared" si="6"/>
        <v>870.23</v>
      </c>
      <c r="H229" s="9">
        <f t="shared" si="7"/>
        <v>3433.09</v>
      </c>
      <c r="I229" s="8" t="s">
        <v>314</v>
      </c>
    </row>
    <row r="230" spans="2:9" x14ac:dyDescent="0.3">
      <c r="B230" s="15" t="s">
        <v>327</v>
      </c>
      <c r="C230" s="15" t="s">
        <v>328</v>
      </c>
      <c r="D230" s="17"/>
      <c r="E230" s="17"/>
      <c r="F230" s="17"/>
      <c r="G230" s="17"/>
      <c r="H230" s="17"/>
      <c r="I230" s="15"/>
    </row>
    <row r="231" spans="2:9" x14ac:dyDescent="0.3">
      <c r="B231" s="8" t="s">
        <v>329</v>
      </c>
      <c r="C231" s="8" t="s">
        <v>330</v>
      </c>
      <c r="D231" s="9">
        <v>161.97</v>
      </c>
      <c r="E231" s="9">
        <v>289</v>
      </c>
      <c r="F231" s="9">
        <v>0</v>
      </c>
      <c r="G231" s="9">
        <f t="shared" si="6"/>
        <v>289</v>
      </c>
      <c r="H231" s="9">
        <f t="shared" si="7"/>
        <v>450.97</v>
      </c>
      <c r="I231" s="8" t="s">
        <v>331</v>
      </c>
    </row>
    <row r="232" spans="2:9" x14ac:dyDescent="0.3">
      <c r="B232" s="8" t="s">
        <v>332</v>
      </c>
      <c r="C232" s="8" t="s">
        <v>333</v>
      </c>
      <c r="D232" s="9">
        <v>2767.78</v>
      </c>
      <c r="E232" s="9">
        <v>1357</v>
      </c>
      <c r="F232" s="9">
        <v>0</v>
      </c>
      <c r="G232" s="9">
        <f t="shared" si="6"/>
        <v>1357</v>
      </c>
      <c r="H232" s="9">
        <f t="shared" si="7"/>
        <v>4124.7800000000007</v>
      </c>
      <c r="I232" s="8" t="s">
        <v>331</v>
      </c>
    </row>
    <row r="233" spans="2:9" x14ac:dyDescent="0.3">
      <c r="B233" s="8" t="s">
        <v>685</v>
      </c>
      <c r="C233" s="8" t="s">
        <v>686</v>
      </c>
      <c r="D233" s="9">
        <v>0</v>
      </c>
      <c r="E233" s="9">
        <v>1260</v>
      </c>
      <c r="F233" s="9">
        <v>0</v>
      </c>
      <c r="G233" s="9">
        <f t="shared" si="6"/>
        <v>1260</v>
      </c>
      <c r="H233" s="9">
        <f t="shared" si="7"/>
        <v>1260</v>
      </c>
      <c r="I233" s="8" t="s">
        <v>331</v>
      </c>
    </row>
    <row r="234" spans="2:9" x14ac:dyDescent="0.3">
      <c r="B234" s="8" t="s">
        <v>334</v>
      </c>
      <c r="C234" s="8" t="s">
        <v>335</v>
      </c>
      <c r="D234" s="9">
        <v>710.9</v>
      </c>
      <c r="E234" s="9">
        <v>0</v>
      </c>
      <c r="F234" s="9">
        <v>0</v>
      </c>
      <c r="G234" s="9">
        <f t="shared" si="6"/>
        <v>0</v>
      </c>
      <c r="H234" s="9">
        <f t="shared" si="7"/>
        <v>710.9</v>
      </c>
      <c r="I234" s="8" t="s">
        <v>331</v>
      </c>
    </row>
    <row r="235" spans="2:9" x14ac:dyDescent="0.3">
      <c r="B235" s="8" t="s">
        <v>687</v>
      </c>
      <c r="C235" s="8" t="s">
        <v>688</v>
      </c>
      <c r="D235" s="9">
        <v>0</v>
      </c>
      <c r="E235" s="9">
        <v>250.24</v>
      </c>
      <c r="F235" s="9">
        <v>0</v>
      </c>
      <c r="G235" s="9">
        <f t="shared" si="6"/>
        <v>250.24</v>
      </c>
      <c r="H235" s="9">
        <f t="shared" si="7"/>
        <v>250.24</v>
      </c>
      <c r="I235" s="8" t="s">
        <v>331</v>
      </c>
    </row>
    <row r="236" spans="2:9" x14ac:dyDescent="0.3">
      <c r="B236" s="8" t="s">
        <v>336</v>
      </c>
      <c r="C236" s="8" t="s">
        <v>337</v>
      </c>
      <c r="D236" s="9">
        <v>2004.83</v>
      </c>
      <c r="E236" s="9">
        <v>57.4</v>
      </c>
      <c r="F236" s="9">
        <v>0</v>
      </c>
      <c r="G236" s="9">
        <f t="shared" si="6"/>
        <v>57.4</v>
      </c>
      <c r="H236" s="9">
        <f t="shared" si="7"/>
        <v>2062.23</v>
      </c>
      <c r="I236" s="8" t="s">
        <v>331</v>
      </c>
    </row>
    <row r="237" spans="2:9" x14ac:dyDescent="0.3">
      <c r="B237" s="8" t="s">
        <v>338</v>
      </c>
      <c r="C237" s="8" t="s">
        <v>339</v>
      </c>
      <c r="D237" s="9">
        <v>930</v>
      </c>
      <c r="E237" s="9">
        <v>3614.17</v>
      </c>
      <c r="F237" s="9">
        <v>0</v>
      </c>
      <c r="G237" s="9">
        <f t="shared" si="6"/>
        <v>3614.17</v>
      </c>
      <c r="H237" s="9">
        <f t="shared" si="7"/>
        <v>4544.17</v>
      </c>
      <c r="I237" s="8" t="s">
        <v>331</v>
      </c>
    </row>
    <row r="238" spans="2:9" x14ac:dyDescent="0.3">
      <c r="B238" s="8" t="s">
        <v>340</v>
      </c>
      <c r="C238" s="8" t="s">
        <v>341</v>
      </c>
      <c r="D238" s="9">
        <v>280</v>
      </c>
      <c r="E238" s="9">
        <v>165</v>
      </c>
      <c r="F238" s="9">
        <v>0</v>
      </c>
      <c r="G238" s="9">
        <f t="shared" si="6"/>
        <v>165</v>
      </c>
      <c r="H238" s="9">
        <f t="shared" si="7"/>
        <v>445</v>
      </c>
      <c r="I238" s="8" t="s">
        <v>331</v>
      </c>
    </row>
    <row r="239" spans="2:9" x14ac:dyDescent="0.3">
      <c r="B239" s="8" t="s">
        <v>342</v>
      </c>
      <c r="C239" s="8" t="s">
        <v>343</v>
      </c>
      <c r="D239" s="9">
        <v>6894.39</v>
      </c>
      <c r="E239" s="9">
        <v>9526.68</v>
      </c>
      <c r="F239" s="9">
        <v>0</v>
      </c>
      <c r="G239" s="9">
        <f t="shared" si="6"/>
        <v>9526.68</v>
      </c>
      <c r="H239" s="9">
        <f t="shared" si="7"/>
        <v>16421.07</v>
      </c>
      <c r="I239" s="8" t="s">
        <v>331</v>
      </c>
    </row>
    <row r="240" spans="2:9" x14ac:dyDescent="0.3">
      <c r="B240" s="8" t="s">
        <v>344</v>
      </c>
      <c r="C240" s="8" t="s">
        <v>345</v>
      </c>
      <c r="D240" s="9">
        <v>4204.1099999999997</v>
      </c>
      <c r="E240" s="9">
        <v>11944.95</v>
      </c>
      <c r="F240" s="9">
        <v>0</v>
      </c>
      <c r="G240" s="9">
        <f t="shared" si="6"/>
        <v>11944.95</v>
      </c>
      <c r="H240" s="9">
        <f t="shared" si="7"/>
        <v>16149.060000000001</v>
      </c>
      <c r="I240" s="8" t="s">
        <v>331</v>
      </c>
    </row>
    <row r="241" spans="2:9" x14ac:dyDescent="0.3">
      <c r="B241" s="8" t="s">
        <v>689</v>
      </c>
      <c r="C241" s="8" t="s">
        <v>690</v>
      </c>
      <c r="D241" s="9">
        <v>0</v>
      </c>
      <c r="E241" s="9">
        <v>60</v>
      </c>
      <c r="F241" s="9">
        <v>0</v>
      </c>
      <c r="G241" s="9">
        <f t="shared" si="6"/>
        <v>60</v>
      </c>
      <c r="H241" s="9">
        <f t="shared" si="7"/>
        <v>60</v>
      </c>
      <c r="I241" s="8" t="s">
        <v>331</v>
      </c>
    </row>
    <row r="242" spans="2:9" x14ac:dyDescent="0.3">
      <c r="B242" s="8" t="s">
        <v>346</v>
      </c>
      <c r="C242" s="8" t="s">
        <v>347</v>
      </c>
      <c r="D242" s="9">
        <v>311.27</v>
      </c>
      <c r="E242" s="9">
        <v>0</v>
      </c>
      <c r="F242" s="9">
        <v>0</v>
      </c>
      <c r="G242" s="9">
        <f t="shared" si="6"/>
        <v>0</v>
      </c>
      <c r="H242" s="9">
        <f t="shared" si="7"/>
        <v>311.27</v>
      </c>
      <c r="I242" s="8" t="s">
        <v>331</v>
      </c>
    </row>
    <row r="243" spans="2:9" x14ac:dyDescent="0.3">
      <c r="B243" s="8" t="s">
        <v>348</v>
      </c>
      <c r="C243" s="8" t="s">
        <v>349</v>
      </c>
      <c r="D243" s="9">
        <v>2015</v>
      </c>
      <c r="E243" s="9">
        <v>3343.48</v>
      </c>
      <c r="F243" s="9">
        <v>0</v>
      </c>
      <c r="G243" s="9">
        <f t="shared" si="6"/>
        <v>3343.48</v>
      </c>
      <c r="H243" s="9">
        <f t="shared" si="7"/>
        <v>5358.48</v>
      </c>
      <c r="I243" s="8" t="s">
        <v>331</v>
      </c>
    </row>
    <row r="244" spans="2:9" x14ac:dyDescent="0.3">
      <c r="B244" s="8" t="s">
        <v>572</v>
      </c>
      <c r="C244" s="8" t="s">
        <v>573</v>
      </c>
      <c r="D244" s="9">
        <v>400</v>
      </c>
      <c r="E244" s="9">
        <v>0</v>
      </c>
      <c r="F244" s="9">
        <v>0</v>
      </c>
      <c r="G244" s="9">
        <f t="shared" si="6"/>
        <v>0</v>
      </c>
      <c r="H244" s="9">
        <f t="shared" si="7"/>
        <v>400</v>
      </c>
      <c r="I244" s="8" t="s">
        <v>331</v>
      </c>
    </row>
    <row r="245" spans="2:9" x14ac:dyDescent="0.3">
      <c r="B245" s="8" t="s">
        <v>574</v>
      </c>
      <c r="C245" s="8" t="s">
        <v>575</v>
      </c>
      <c r="D245" s="9">
        <v>530</v>
      </c>
      <c r="E245" s="9">
        <v>0</v>
      </c>
      <c r="F245" s="9">
        <v>0</v>
      </c>
      <c r="G245" s="9">
        <f t="shared" si="6"/>
        <v>0</v>
      </c>
      <c r="H245" s="9">
        <f t="shared" si="7"/>
        <v>530</v>
      </c>
      <c r="I245" s="8" t="s">
        <v>331</v>
      </c>
    </row>
    <row r="246" spans="2:9" x14ac:dyDescent="0.3">
      <c r="B246" s="8" t="s">
        <v>691</v>
      </c>
      <c r="C246" s="8" t="s">
        <v>692</v>
      </c>
      <c r="D246" s="9">
        <v>0</v>
      </c>
      <c r="E246" s="9">
        <v>158.04</v>
      </c>
      <c r="F246" s="9">
        <v>0</v>
      </c>
      <c r="G246" s="9">
        <f t="shared" si="6"/>
        <v>158.04</v>
      </c>
      <c r="H246" s="9">
        <f t="shared" si="7"/>
        <v>158.04</v>
      </c>
      <c r="I246" s="8" t="s">
        <v>331</v>
      </c>
    </row>
    <row r="247" spans="2:9" x14ac:dyDescent="0.3">
      <c r="B247" s="8" t="s">
        <v>576</v>
      </c>
      <c r="C247" s="8" t="s">
        <v>577</v>
      </c>
      <c r="D247" s="9">
        <v>1200</v>
      </c>
      <c r="E247" s="9">
        <v>1377.5</v>
      </c>
      <c r="F247" s="9">
        <v>0</v>
      </c>
      <c r="G247" s="9">
        <f t="shared" si="6"/>
        <v>1377.5</v>
      </c>
      <c r="H247" s="9">
        <f t="shared" si="7"/>
        <v>2577.5</v>
      </c>
      <c r="I247" s="8" t="s">
        <v>331</v>
      </c>
    </row>
    <row r="248" spans="2:9" x14ac:dyDescent="0.3">
      <c r="B248" s="8" t="s">
        <v>350</v>
      </c>
      <c r="C248" s="8" t="s">
        <v>351</v>
      </c>
      <c r="D248" s="9">
        <v>2000</v>
      </c>
      <c r="E248" s="9">
        <v>0</v>
      </c>
      <c r="F248" s="9">
        <v>0</v>
      </c>
      <c r="G248" s="9">
        <f t="shared" si="6"/>
        <v>0</v>
      </c>
      <c r="H248" s="9">
        <f t="shared" si="7"/>
        <v>2000</v>
      </c>
      <c r="I248" s="8" t="s">
        <v>331</v>
      </c>
    </row>
    <row r="249" spans="2:9" x14ac:dyDescent="0.3">
      <c r="B249" s="8" t="s">
        <v>352</v>
      </c>
      <c r="C249" s="8" t="s">
        <v>353</v>
      </c>
      <c r="D249" s="9">
        <v>5505</v>
      </c>
      <c r="E249" s="9">
        <v>1284.26</v>
      </c>
      <c r="F249" s="9">
        <v>0</v>
      </c>
      <c r="G249" s="9">
        <f t="shared" si="6"/>
        <v>1284.26</v>
      </c>
      <c r="H249" s="9">
        <f t="shared" si="7"/>
        <v>6789.26</v>
      </c>
      <c r="I249" s="8" t="s">
        <v>331</v>
      </c>
    </row>
    <row r="250" spans="2:9" x14ac:dyDescent="0.3">
      <c r="B250" s="8" t="s">
        <v>693</v>
      </c>
      <c r="C250" s="8" t="s">
        <v>694</v>
      </c>
      <c r="D250" s="9">
        <v>0</v>
      </c>
      <c r="E250" s="9">
        <v>7197.68</v>
      </c>
      <c r="F250" s="9">
        <v>0</v>
      </c>
      <c r="G250" s="9">
        <f t="shared" si="6"/>
        <v>7197.68</v>
      </c>
      <c r="H250" s="9">
        <f t="shared" si="7"/>
        <v>7197.68</v>
      </c>
      <c r="I250" s="8" t="s">
        <v>331</v>
      </c>
    </row>
    <row r="251" spans="2:9" x14ac:dyDescent="0.3">
      <c r="B251" s="8" t="s">
        <v>578</v>
      </c>
      <c r="C251" s="8" t="s">
        <v>579</v>
      </c>
      <c r="D251" s="9">
        <v>1146.52</v>
      </c>
      <c r="E251" s="9">
        <v>1360</v>
      </c>
      <c r="F251" s="9">
        <v>0</v>
      </c>
      <c r="G251" s="9">
        <f t="shared" si="6"/>
        <v>1360</v>
      </c>
      <c r="H251" s="9">
        <f t="shared" si="7"/>
        <v>2506.52</v>
      </c>
      <c r="I251" s="8" t="s">
        <v>331</v>
      </c>
    </row>
    <row r="252" spans="2:9" x14ac:dyDescent="0.3">
      <c r="B252" s="15" t="s">
        <v>354</v>
      </c>
      <c r="C252" s="15" t="s">
        <v>355</v>
      </c>
      <c r="D252" s="17"/>
      <c r="E252" s="17"/>
      <c r="F252" s="17"/>
      <c r="G252" s="17"/>
      <c r="H252" s="17"/>
      <c r="I252" s="15"/>
    </row>
    <row r="253" spans="2:9" x14ac:dyDescent="0.3">
      <c r="B253" s="8" t="s">
        <v>356</v>
      </c>
      <c r="C253" s="8" t="s">
        <v>357</v>
      </c>
      <c r="D253" s="9">
        <v>120</v>
      </c>
      <c r="E253" s="9">
        <v>2623.96</v>
      </c>
      <c r="F253" s="9">
        <v>0</v>
      </c>
      <c r="G253" s="9">
        <f t="shared" si="6"/>
        <v>2623.96</v>
      </c>
      <c r="H253" s="9">
        <f t="shared" si="7"/>
        <v>2743.96</v>
      </c>
      <c r="I253" s="8" t="s">
        <v>358</v>
      </c>
    </row>
    <row r="254" spans="2:9" x14ac:dyDescent="0.3">
      <c r="B254" s="8" t="s">
        <v>359</v>
      </c>
      <c r="C254" s="8" t="s">
        <v>360</v>
      </c>
      <c r="D254" s="9">
        <v>4367</v>
      </c>
      <c r="E254" s="9">
        <v>1204</v>
      </c>
      <c r="F254" s="9">
        <v>0</v>
      </c>
      <c r="G254" s="9">
        <f t="shared" si="6"/>
        <v>1204</v>
      </c>
      <c r="H254" s="9">
        <f t="shared" si="7"/>
        <v>5571</v>
      </c>
      <c r="I254" s="8" t="s">
        <v>358</v>
      </c>
    </row>
    <row r="255" spans="2:9" x14ac:dyDescent="0.3">
      <c r="B255" s="8" t="s">
        <v>580</v>
      </c>
      <c r="C255" s="8" t="s">
        <v>581</v>
      </c>
      <c r="D255" s="9">
        <v>20</v>
      </c>
      <c r="E255" s="9">
        <v>0</v>
      </c>
      <c r="F255" s="9">
        <v>0</v>
      </c>
      <c r="G255" s="9">
        <f t="shared" si="6"/>
        <v>0</v>
      </c>
      <c r="H255" s="9">
        <f t="shared" si="7"/>
        <v>20</v>
      </c>
      <c r="I255" s="8" t="s">
        <v>358</v>
      </c>
    </row>
    <row r="256" spans="2:9" x14ac:dyDescent="0.3">
      <c r="B256" s="8" t="s">
        <v>361</v>
      </c>
      <c r="C256" s="8" t="s">
        <v>362</v>
      </c>
      <c r="D256" s="9">
        <v>1135.04</v>
      </c>
      <c r="E256" s="9">
        <v>769</v>
      </c>
      <c r="F256" s="9">
        <v>0</v>
      </c>
      <c r="G256" s="9">
        <f t="shared" si="6"/>
        <v>769</v>
      </c>
      <c r="H256" s="9">
        <f t="shared" si="7"/>
        <v>1904.04</v>
      </c>
      <c r="I256" s="8" t="s">
        <v>358</v>
      </c>
    </row>
    <row r="257" spans="2:9" x14ac:dyDescent="0.3">
      <c r="B257" s="8" t="s">
        <v>363</v>
      </c>
      <c r="C257" s="8" t="s">
        <v>364</v>
      </c>
      <c r="D257" s="9">
        <v>40586.26</v>
      </c>
      <c r="E257" s="9">
        <v>25664.27</v>
      </c>
      <c r="F257" s="9">
        <v>0</v>
      </c>
      <c r="G257" s="9">
        <f t="shared" si="6"/>
        <v>25664.27</v>
      </c>
      <c r="H257" s="9">
        <f t="shared" si="7"/>
        <v>66250.53</v>
      </c>
      <c r="I257" s="8" t="s">
        <v>358</v>
      </c>
    </row>
    <row r="258" spans="2:9" x14ac:dyDescent="0.3">
      <c r="B258" s="8" t="s">
        <v>365</v>
      </c>
      <c r="C258" s="8" t="s">
        <v>366</v>
      </c>
      <c r="D258" s="9">
        <v>875.41</v>
      </c>
      <c r="E258" s="9">
        <v>535.25</v>
      </c>
      <c r="F258" s="9">
        <v>0</v>
      </c>
      <c r="G258" s="9">
        <f t="shared" si="6"/>
        <v>535.25</v>
      </c>
      <c r="H258" s="9">
        <f t="shared" si="7"/>
        <v>1410.6599999999999</v>
      </c>
      <c r="I258" s="8" t="s">
        <v>358</v>
      </c>
    </row>
    <row r="259" spans="2:9" x14ac:dyDescent="0.3">
      <c r="B259" s="8" t="s">
        <v>367</v>
      </c>
      <c r="C259" s="8" t="s">
        <v>368</v>
      </c>
      <c r="D259" s="9">
        <v>160</v>
      </c>
      <c r="E259" s="9">
        <v>624.16</v>
      </c>
      <c r="F259" s="9">
        <v>0</v>
      </c>
      <c r="G259" s="9">
        <f t="shared" si="6"/>
        <v>624.16</v>
      </c>
      <c r="H259" s="9">
        <f t="shared" si="7"/>
        <v>784.16</v>
      </c>
      <c r="I259" s="8" t="s">
        <v>358</v>
      </c>
    </row>
    <row r="260" spans="2:9" x14ac:dyDescent="0.3">
      <c r="B260" s="15" t="s">
        <v>369</v>
      </c>
      <c r="C260" s="15" t="s">
        <v>370</v>
      </c>
      <c r="D260" s="17"/>
      <c r="E260" s="17"/>
      <c r="F260" s="17"/>
      <c r="G260" s="17"/>
      <c r="H260" s="17"/>
      <c r="I260" s="15"/>
    </row>
    <row r="261" spans="2:9" x14ac:dyDescent="0.3">
      <c r="B261" s="8" t="s">
        <v>582</v>
      </c>
      <c r="C261" s="8" t="s">
        <v>583</v>
      </c>
      <c r="D261" s="9">
        <v>333</v>
      </c>
      <c r="E261" s="9">
        <v>0</v>
      </c>
      <c r="F261" s="9">
        <v>0</v>
      </c>
      <c r="G261" s="9">
        <f t="shared" si="6"/>
        <v>0</v>
      </c>
      <c r="H261" s="9">
        <f t="shared" si="7"/>
        <v>333</v>
      </c>
      <c r="I261" s="8" t="s">
        <v>373</v>
      </c>
    </row>
    <row r="262" spans="2:9" x14ac:dyDescent="0.3">
      <c r="B262" s="8" t="s">
        <v>371</v>
      </c>
      <c r="C262" s="8" t="s">
        <v>372</v>
      </c>
      <c r="D262" s="9">
        <v>6219.14</v>
      </c>
      <c r="E262" s="9">
        <v>7450.27</v>
      </c>
      <c r="F262" s="9">
        <v>0</v>
      </c>
      <c r="G262" s="9">
        <f t="shared" si="6"/>
        <v>7450.27</v>
      </c>
      <c r="H262" s="9">
        <f t="shared" si="7"/>
        <v>13669.41</v>
      </c>
      <c r="I262" s="8" t="s">
        <v>373</v>
      </c>
    </row>
    <row r="263" spans="2:9" x14ac:dyDescent="0.3">
      <c r="B263" s="8" t="s">
        <v>374</v>
      </c>
      <c r="C263" s="8" t="s">
        <v>375</v>
      </c>
      <c r="D263" s="9">
        <v>1383.63</v>
      </c>
      <c r="E263" s="9">
        <v>439.13</v>
      </c>
      <c r="F263" s="9">
        <v>0</v>
      </c>
      <c r="G263" s="9">
        <f t="shared" si="6"/>
        <v>439.13</v>
      </c>
      <c r="H263" s="9">
        <f t="shared" si="7"/>
        <v>1822.7600000000002</v>
      </c>
      <c r="I263" s="8" t="s">
        <v>373</v>
      </c>
    </row>
    <row r="264" spans="2:9" x14ac:dyDescent="0.3">
      <c r="B264" s="8" t="s">
        <v>376</v>
      </c>
      <c r="C264" s="8" t="s">
        <v>377</v>
      </c>
      <c r="D264" s="9">
        <v>1525.38</v>
      </c>
      <c r="E264" s="9">
        <v>561.74</v>
      </c>
      <c r="F264" s="9">
        <v>0</v>
      </c>
      <c r="G264" s="9">
        <f t="shared" si="6"/>
        <v>561.74</v>
      </c>
      <c r="H264" s="9">
        <f t="shared" si="7"/>
        <v>2087.12</v>
      </c>
      <c r="I264" s="8" t="s">
        <v>373</v>
      </c>
    </row>
    <row r="265" spans="2:9" x14ac:dyDescent="0.3">
      <c r="B265" s="8" t="s">
        <v>378</v>
      </c>
      <c r="C265" s="8" t="s">
        <v>379</v>
      </c>
      <c r="D265" s="9">
        <v>1174.95</v>
      </c>
      <c r="E265" s="9">
        <v>414.81</v>
      </c>
      <c r="F265" s="9">
        <v>0</v>
      </c>
      <c r="G265" s="9">
        <f t="shared" ref="G265:G310" si="8">E265-F265</f>
        <v>414.81</v>
      </c>
      <c r="H265" s="9">
        <f t="shared" ref="H265:H310" si="9">D265+G265</f>
        <v>1589.76</v>
      </c>
      <c r="I265" s="8" t="s">
        <v>373</v>
      </c>
    </row>
    <row r="266" spans="2:9" x14ac:dyDescent="0.3">
      <c r="B266" s="8" t="s">
        <v>380</v>
      </c>
      <c r="C266" s="8" t="s">
        <v>381</v>
      </c>
      <c r="D266" s="9">
        <v>686.95</v>
      </c>
      <c r="E266" s="9">
        <v>258.29000000000002</v>
      </c>
      <c r="F266" s="9">
        <v>0</v>
      </c>
      <c r="G266" s="9">
        <f t="shared" si="8"/>
        <v>258.29000000000002</v>
      </c>
      <c r="H266" s="9">
        <f t="shared" si="9"/>
        <v>945.24</v>
      </c>
      <c r="I266" s="8" t="s">
        <v>373</v>
      </c>
    </row>
    <row r="267" spans="2:9" x14ac:dyDescent="0.3">
      <c r="B267" s="8" t="s">
        <v>382</v>
      </c>
      <c r="C267" s="8" t="s">
        <v>383</v>
      </c>
      <c r="D267" s="9">
        <v>1665.07</v>
      </c>
      <c r="E267" s="9">
        <v>724.58</v>
      </c>
      <c r="F267" s="9">
        <v>0</v>
      </c>
      <c r="G267" s="9">
        <f t="shared" si="8"/>
        <v>724.58</v>
      </c>
      <c r="H267" s="9">
        <f t="shared" si="9"/>
        <v>2389.65</v>
      </c>
      <c r="I267" s="8" t="s">
        <v>373</v>
      </c>
    </row>
    <row r="268" spans="2:9" x14ac:dyDescent="0.3">
      <c r="B268" s="8" t="s">
        <v>384</v>
      </c>
      <c r="C268" s="8" t="s">
        <v>385</v>
      </c>
      <c r="D268" s="9">
        <v>3803.42</v>
      </c>
      <c r="E268" s="9">
        <v>1395.95</v>
      </c>
      <c r="F268" s="9">
        <v>0</v>
      </c>
      <c r="G268" s="9">
        <f t="shared" si="8"/>
        <v>1395.95</v>
      </c>
      <c r="H268" s="9">
        <f t="shared" si="9"/>
        <v>5199.37</v>
      </c>
      <c r="I268" s="8" t="s">
        <v>373</v>
      </c>
    </row>
    <row r="269" spans="2:9" x14ac:dyDescent="0.3">
      <c r="B269" s="8" t="s">
        <v>584</v>
      </c>
      <c r="C269" s="8" t="s">
        <v>585</v>
      </c>
      <c r="D269" s="9">
        <v>615.59</v>
      </c>
      <c r="E269" s="9">
        <v>326.98</v>
      </c>
      <c r="F269" s="9">
        <v>0</v>
      </c>
      <c r="G269" s="9">
        <f t="shared" si="8"/>
        <v>326.98</v>
      </c>
      <c r="H269" s="9">
        <f t="shared" si="9"/>
        <v>942.57</v>
      </c>
      <c r="I269" s="8" t="s">
        <v>373</v>
      </c>
    </row>
    <row r="270" spans="2:9" x14ac:dyDescent="0.3">
      <c r="B270" s="8" t="s">
        <v>386</v>
      </c>
      <c r="C270" s="8" t="s">
        <v>387</v>
      </c>
      <c r="D270" s="9">
        <v>782.61</v>
      </c>
      <c r="E270" s="9">
        <v>260.14</v>
      </c>
      <c r="F270" s="9">
        <v>0</v>
      </c>
      <c r="G270" s="9">
        <f t="shared" si="8"/>
        <v>260.14</v>
      </c>
      <c r="H270" s="9">
        <f t="shared" si="9"/>
        <v>1042.75</v>
      </c>
      <c r="I270" s="8" t="s">
        <v>373</v>
      </c>
    </row>
    <row r="271" spans="2:9" x14ac:dyDescent="0.3">
      <c r="B271" s="8" t="s">
        <v>586</v>
      </c>
      <c r="C271" s="8" t="s">
        <v>587</v>
      </c>
      <c r="D271" s="9">
        <v>1665</v>
      </c>
      <c r="E271" s="9">
        <v>1582.99</v>
      </c>
      <c r="F271" s="9">
        <v>0</v>
      </c>
      <c r="G271" s="9">
        <f t="shared" si="8"/>
        <v>1582.99</v>
      </c>
      <c r="H271" s="9">
        <f t="shared" si="9"/>
        <v>3247.99</v>
      </c>
      <c r="I271" s="8" t="s">
        <v>373</v>
      </c>
    </row>
    <row r="272" spans="2:9" x14ac:dyDescent="0.3">
      <c r="B272" s="8" t="s">
        <v>388</v>
      </c>
      <c r="C272" s="8" t="s">
        <v>389</v>
      </c>
      <c r="D272" s="9">
        <v>1302.46</v>
      </c>
      <c r="E272" s="9">
        <v>434.46</v>
      </c>
      <c r="F272" s="9">
        <v>0</v>
      </c>
      <c r="G272" s="9">
        <f t="shared" si="8"/>
        <v>434.46</v>
      </c>
      <c r="H272" s="9">
        <f t="shared" si="9"/>
        <v>1736.92</v>
      </c>
      <c r="I272" s="8" t="s">
        <v>373</v>
      </c>
    </row>
    <row r="273" spans="2:9" x14ac:dyDescent="0.3">
      <c r="B273" s="15" t="s">
        <v>390</v>
      </c>
      <c r="C273" s="15" t="s">
        <v>391</v>
      </c>
      <c r="D273" s="17"/>
      <c r="E273" s="17"/>
      <c r="F273" s="17"/>
      <c r="G273" s="17"/>
      <c r="H273" s="17"/>
      <c r="I273" s="15"/>
    </row>
    <row r="274" spans="2:9" x14ac:dyDescent="0.3">
      <c r="B274" s="8" t="s">
        <v>588</v>
      </c>
      <c r="C274" s="8" t="s">
        <v>589</v>
      </c>
      <c r="D274" s="9">
        <v>1971.6</v>
      </c>
      <c r="E274" s="9">
        <v>985.8</v>
      </c>
      <c r="F274" s="9">
        <v>0</v>
      </c>
      <c r="G274" s="9">
        <f t="shared" si="8"/>
        <v>985.8</v>
      </c>
      <c r="H274" s="9">
        <f t="shared" si="9"/>
        <v>2957.3999999999996</v>
      </c>
      <c r="I274" s="8" t="s">
        <v>394</v>
      </c>
    </row>
    <row r="275" spans="2:9" x14ac:dyDescent="0.3">
      <c r="B275" s="8" t="s">
        <v>638</v>
      </c>
      <c r="C275" s="8" t="s">
        <v>639</v>
      </c>
      <c r="D275" s="9">
        <v>3500</v>
      </c>
      <c r="E275" s="9">
        <v>0</v>
      </c>
      <c r="F275" s="9">
        <v>0</v>
      </c>
      <c r="G275" s="9">
        <f t="shared" si="8"/>
        <v>0</v>
      </c>
      <c r="H275" s="9">
        <f t="shared" si="9"/>
        <v>3500</v>
      </c>
      <c r="I275" s="8" t="s">
        <v>394</v>
      </c>
    </row>
    <row r="276" spans="2:9" x14ac:dyDescent="0.3">
      <c r="B276" s="8" t="s">
        <v>392</v>
      </c>
      <c r="C276" s="8" t="s">
        <v>393</v>
      </c>
      <c r="D276" s="9">
        <v>46506.33</v>
      </c>
      <c r="E276" s="9">
        <v>15502.11</v>
      </c>
      <c r="F276" s="9">
        <v>0</v>
      </c>
      <c r="G276" s="9">
        <f t="shared" si="8"/>
        <v>15502.11</v>
      </c>
      <c r="H276" s="9">
        <f t="shared" si="9"/>
        <v>62008.44</v>
      </c>
      <c r="I276" s="8" t="s">
        <v>394</v>
      </c>
    </row>
    <row r="277" spans="2:9" x14ac:dyDescent="0.3">
      <c r="B277" s="15" t="s">
        <v>395</v>
      </c>
      <c r="C277" s="15" t="s">
        <v>396</v>
      </c>
      <c r="D277" s="17"/>
      <c r="E277" s="17"/>
      <c r="F277" s="17"/>
      <c r="G277" s="17"/>
      <c r="H277" s="17"/>
      <c r="I277" s="15"/>
    </row>
    <row r="278" spans="2:9" x14ac:dyDescent="0.3">
      <c r="B278" s="8" t="s">
        <v>397</v>
      </c>
      <c r="C278" s="8" t="s">
        <v>398</v>
      </c>
      <c r="D278" s="9">
        <v>256991.65</v>
      </c>
      <c r="E278" s="9">
        <v>82191.399999999994</v>
      </c>
      <c r="F278" s="9">
        <v>22316.04</v>
      </c>
      <c r="G278" s="9">
        <f t="shared" si="8"/>
        <v>59875.359999999993</v>
      </c>
      <c r="H278" s="9">
        <f t="shared" si="9"/>
        <v>316867.01</v>
      </c>
      <c r="I278" s="8" t="s">
        <v>399</v>
      </c>
    </row>
    <row r="279" spans="2:9" x14ac:dyDescent="0.3">
      <c r="B279" s="8" t="s">
        <v>400</v>
      </c>
      <c r="C279" s="8" t="s">
        <v>401</v>
      </c>
      <c r="D279" s="9">
        <v>127168.47</v>
      </c>
      <c r="E279" s="9">
        <v>103427.25</v>
      </c>
      <c r="F279" s="9">
        <v>0</v>
      </c>
      <c r="G279" s="9">
        <f t="shared" si="8"/>
        <v>103427.25</v>
      </c>
      <c r="H279" s="9">
        <f t="shared" si="9"/>
        <v>230595.72</v>
      </c>
      <c r="I279" s="8" t="s">
        <v>399</v>
      </c>
    </row>
    <row r="280" spans="2:9" x14ac:dyDescent="0.3">
      <c r="B280" s="8" t="s">
        <v>402</v>
      </c>
      <c r="C280" s="8" t="s">
        <v>403</v>
      </c>
      <c r="D280" s="9">
        <v>959.22</v>
      </c>
      <c r="E280" s="9">
        <v>595.64</v>
      </c>
      <c r="F280" s="9">
        <v>0</v>
      </c>
      <c r="G280" s="9">
        <f t="shared" si="8"/>
        <v>595.64</v>
      </c>
      <c r="H280" s="9">
        <f t="shared" si="9"/>
        <v>1554.8600000000001</v>
      </c>
      <c r="I280" s="8" t="s">
        <v>399</v>
      </c>
    </row>
    <row r="281" spans="2:9" x14ac:dyDescent="0.3">
      <c r="B281" s="8" t="s">
        <v>590</v>
      </c>
      <c r="C281" s="8" t="s">
        <v>591</v>
      </c>
      <c r="D281" s="9">
        <v>85</v>
      </c>
      <c r="E281" s="9">
        <v>200</v>
      </c>
      <c r="F281" s="9">
        <v>0</v>
      </c>
      <c r="G281" s="9">
        <f t="shared" si="8"/>
        <v>200</v>
      </c>
      <c r="H281" s="9">
        <f t="shared" si="9"/>
        <v>285</v>
      </c>
      <c r="I281" s="8" t="s">
        <v>399</v>
      </c>
    </row>
    <row r="282" spans="2:9" x14ac:dyDescent="0.3">
      <c r="B282" s="8" t="s">
        <v>404</v>
      </c>
      <c r="C282" s="8" t="s">
        <v>405</v>
      </c>
      <c r="D282" s="9">
        <v>2070</v>
      </c>
      <c r="E282" s="9">
        <v>0</v>
      </c>
      <c r="F282" s="9">
        <v>0</v>
      </c>
      <c r="G282" s="9">
        <f t="shared" si="8"/>
        <v>0</v>
      </c>
      <c r="H282" s="9">
        <f t="shared" si="9"/>
        <v>2070</v>
      </c>
      <c r="I282" s="8" t="s">
        <v>399</v>
      </c>
    </row>
    <row r="283" spans="2:9" x14ac:dyDescent="0.3">
      <c r="B283" s="8" t="s">
        <v>640</v>
      </c>
      <c r="C283" s="8" t="s">
        <v>641</v>
      </c>
      <c r="D283" s="9">
        <v>2467</v>
      </c>
      <c r="E283" s="9">
        <v>1506</v>
      </c>
      <c r="F283" s="9">
        <v>0</v>
      </c>
      <c r="G283" s="9">
        <f t="shared" si="8"/>
        <v>1506</v>
      </c>
      <c r="H283" s="9">
        <f t="shared" si="9"/>
        <v>3973</v>
      </c>
      <c r="I283" s="8" t="s">
        <v>399</v>
      </c>
    </row>
    <row r="284" spans="2:9" x14ac:dyDescent="0.3">
      <c r="B284" s="8" t="s">
        <v>592</v>
      </c>
      <c r="C284" s="8" t="s">
        <v>593</v>
      </c>
      <c r="D284" s="9">
        <v>375</v>
      </c>
      <c r="E284" s="9">
        <v>0</v>
      </c>
      <c r="F284" s="9">
        <v>0</v>
      </c>
      <c r="G284" s="9">
        <f t="shared" si="8"/>
        <v>0</v>
      </c>
      <c r="H284" s="9">
        <f t="shared" si="9"/>
        <v>375</v>
      </c>
      <c r="I284" s="8" t="s">
        <v>399</v>
      </c>
    </row>
    <row r="285" spans="2:9" x14ac:dyDescent="0.3">
      <c r="B285" s="8" t="s">
        <v>594</v>
      </c>
      <c r="C285" s="8" t="s">
        <v>595</v>
      </c>
      <c r="D285" s="9">
        <v>22</v>
      </c>
      <c r="E285" s="9">
        <v>0</v>
      </c>
      <c r="F285" s="9">
        <v>0</v>
      </c>
      <c r="G285" s="9">
        <f t="shared" si="8"/>
        <v>0</v>
      </c>
      <c r="H285" s="9">
        <f t="shared" si="9"/>
        <v>22</v>
      </c>
      <c r="I285" s="8" t="s">
        <v>399</v>
      </c>
    </row>
    <row r="286" spans="2:9" x14ac:dyDescent="0.3">
      <c r="B286" s="8" t="s">
        <v>406</v>
      </c>
      <c r="C286" s="8" t="s">
        <v>407</v>
      </c>
      <c r="D286" s="9">
        <v>3243.83</v>
      </c>
      <c r="E286" s="9">
        <v>1131.33</v>
      </c>
      <c r="F286" s="9">
        <v>0</v>
      </c>
      <c r="G286" s="9">
        <f t="shared" si="8"/>
        <v>1131.33</v>
      </c>
      <c r="H286" s="9">
        <f t="shared" si="9"/>
        <v>4375.16</v>
      </c>
      <c r="I286" s="8" t="s">
        <v>399</v>
      </c>
    </row>
    <row r="287" spans="2:9" x14ac:dyDescent="0.3">
      <c r="B287" s="15" t="s">
        <v>408</v>
      </c>
      <c r="C287" s="15" t="s">
        <v>409</v>
      </c>
      <c r="D287" s="17"/>
      <c r="E287" s="17"/>
      <c r="F287" s="17"/>
      <c r="G287" s="17"/>
      <c r="H287" s="17"/>
      <c r="I287" s="15"/>
    </row>
    <row r="288" spans="2:9" x14ac:dyDescent="0.3">
      <c r="B288" s="8" t="s">
        <v>410</v>
      </c>
      <c r="C288" s="8" t="s">
        <v>411</v>
      </c>
      <c r="D288" s="9">
        <v>5654.63</v>
      </c>
      <c r="E288" s="9">
        <v>919</v>
      </c>
      <c r="F288" s="9">
        <v>0</v>
      </c>
      <c r="G288" s="9">
        <f t="shared" si="8"/>
        <v>919</v>
      </c>
      <c r="H288" s="9">
        <f t="shared" si="9"/>
        <v>6573.63</v>
      </c>
      <c r="I288" s="8" t="s">
        <v>412</v>
      </c>
    </row>
    <row r="289" spans="2:9" x14ac:dyDescent="0.3">
      <c r="B289" s="8" t="s">
        <v>695</v>
      </c>
      <c r="C289" s="8" t="s">
        <v>696</v>
      </c>
      <c r="D289" s="9">
        <v>0</v>
      </c>
      <c r="E289" s="9">
        <v>700</v>
      </c>
      <c r="F289" s="9">
        <v>0</v>
      </c>
      <c r="G289" s="9">
        <f t="shared" si="8"/>
        <v>700</v>
      </c>
      <c r="H289" s="9">
        <f t="shared" si="9"/>
        <v>700</v>
      </c>
      <c r="I289" s="8" t="s">
        <v>412</v>
      </c>
    </row>
    <row r="290" spans="2:9" x14ac:dyDescent="0.3">
      <c r="B290" s="8" t="s">
        <v>413</v>
      </c>
      <c r="C290" s="8" t="s">
        <v>414</v>
      </c>
      <c r="D290" s="9">
        <v>6552.74</v>
      </c>
      <c r="E290" s="9">
        <v>0</v>
      </c>
      <c r="F290" s="9">
        <v>0</v>
      </c>
      <c r="G290" s="9">
        <f t="shared" si="8"/>
        <v>0</v>
      </c>
      <c r="H290" s="9">
        <f t="shared" si="9"/>
        <v>6552.74</v>
      </c>
      <c r="I290" s="8" t="s">
        <v>412</v>
      </c>
    </row>
    <row r="291" spans="2:9" x14ac:dyDescent="0.3">
      <c r="B291" s="8" t="s">
        <v>596</v>
      </c>
      <c r="C291" s="8" t="s">
        <v>597</v>
      </c>
      <c r="D291" s="9">
        <v>29000</v>
      </c>
      <c r="E291" s="9">
        <v>0</v>
      </c>
      <c r="F291" s="9">
        <v>0</v>
      </c>
      <c r="G291" s="9">
        <f t="shared" si="8"/>
        <v>0</v>
      </c>
      <c r="H291" s="9">
        <f t="shared" si="9"/>
        <v>29000</v>
      </c>
      <c r="I291" s="8" t="s">
        <v>412</v>
      </c>
    </row>
    <row r="292" spans="2:9" x14ac:dyDescent="0.3">
      <c r="B292" s="8" t="s">
        <v>598</v>
      </c>
      <c r="C292" s="8" t="s">
        <v>599</v>
      </c>
      <c r="D292" s="9">
        <v>5191.8</v>
      </c>
      <c r="E292" s="9">
        <v>0</v>
      </c>
      <c r="F292" s="9">
        <v>0</v>
      </c>
      <c r="G292" s="9">
        <f t="shared" si="8"/>
        <v>0</v>
      </c>
      <c r="H292" s="9">
        <f t="shared" si="9"/>
        <v>5191.8</v>
      </c>
      <c r="I292" s="8" t="s">
        <v>412</v>
      </c>
    </row>
    <row r="293" spans="2:9" x14ac:dyDescent="0.3">
      <c r="B293" s="8" t="s">
        <v>415</v>
      </c>
      <c r="C293" s="8" t="s">
        <v>416</v>
      </c>
      <c r="D293" s="9">
        <v>3225</v>
      </c>
      <c r="E293" s="9">
        <v>7108.32</v>
      </c>
      <c r="F293" s="9">
        <v>0</v>
      </c>
      <c r="G293" s="9">
        <f t="shared" si="8"/>
        <v>7108.32</v>
      </c>
      <c r="H293" s="9">
        <f t="shared" si="9"/>
        <v>10333.32</v>
      </c>
      <c r="I293" s="8" t="s">
        <v>412</v>
      </c>
    </row>
    <row r="294" spans="2:9" x14ac:dyDescent="0.3">
      <c r="B294" s="8" t="s">
        <v>642</v>
      </c>
      <c r="C294" s="8" t="s">
        <v>643</v>
      </c>
      <c r="D294" s="9">
        <v>7219.8</v>
      </c>
      <c r="E294" s="9">
        <v>0</v>
      </c>
      <c r="F294" s="9">
        <v>0</v>
      </c>
      <c r="G294" s="9">
        <f t="shared" si="8"/>
        <v>0</v>
      </c>
      <c r="H294" s="9">
        <f t="shared" si="9"/>
        <v>7219.8</v>
      </c>
      <c r="I294" s="8" t="s">
        <v>412</v>
      </c>
    </row>
    <row r="295" spans="2:9" x14ac:dyDescent="0.3">
      <c r="B295" s="8" t="s">
        <v>417</v>
      </c>
      <c r="C295" s="8" t="s">
        <v>418</v>
      </c>
      <c r="D295" s="9">
        <v>4612.55</v>
      </c>
      <c r="E295" s="9">
        <v>1372.34</v>
      </c>
      <c r="F295" s="9">
        <v>0</v>
      </c>
      <c r="G295" s="9">
        <f t="shared" si="8"/>
        <v>1372.34</v>
      </c>
      <c r="H295" s="9">
        <f t="shared" si="9"/>
        <v>5984.89</v>
      </c>
      <c r="I295" s="8" t="s">
        <v>412</v>
      </c>
    </row>
    <row r="296" spans="2:9" x14ac:dyDescent="0.3">
      <c r="B296" s="15" t="s">
        <v>419</v>
      </c>
      <c r="C296" s="15" t="s">
        <v>420</v>
      </c>
      <c r="D296" s="17"/>
      <c r="E296" s="17"/>
      <c r="F296" s="17"/>
      <c r="G296" s="17"/>
      <c r="H296" s="17"/>
      <c r="I296" s="15"/>
    </row>
    <row r="297" spans="2:9" x14ac:dyDescent="0.3">
      <c r="B297" s="8" t="s">
        <v>421</v>
      </c>
      <c r="C297" s="8" t="s">
        <v>422</v>
      </c>
      <c r="D297" s="9">
        <v>165208.20000000001</v>
      </c>
      <c r="E297" s="9">
        <v>109650.4</v>
      </c>
      <c r="F297" s="9">
        <v>57504</v>
      </c>
      <c r="G297" s="9">
        <f t="shared" si="8"/>
        <v>52146.399999999994</v>
      </c>
      <c r="H297" s="9">
        <f t="shared" si="9"/>
        <v>217354.6</v>
      </c>
      <c r="I297" s="8" t="s">
        <v>423</v>
      </c>
    </row>
    <row r="298" spans="2:9" x14ac:dyDescent="0.3">
      <c r="B298" s="8" t="s">
        <v>600</v>
      </c>
      <c r="C298" s="8" t="s">
        <v>601</v>
      </c>
      <c r="D298" s="9">
        <v>500</v>
      </c>
      <c r="E298" s="9">
        <v>0</v>
      </c>
      <c r="F298" s="9">
        <v>0</v>
      </c>
      <c r="G298" s="9">
        <f t="shared" si="8"/>
        <v>0</v>
      </c>
      <c r="H298" s="9">
        <f t="shared" si="9"/>
        <v>500</v>
      </c>
      <c r="I298" s="8" t="s">
        <v>423</v>
      </c>
    </row>
    <row r="299" spans="2:9" x14ac:dyDescent="0.3">
      <c r="B299" s="8" t="s">
        <v>424</v>
      </c>
      <c r="C299" s="8" t="s">
        <v>425</v>
      </c>
      <c r="D299" s="9">
        <v>342.7</v>
      </c>
      <c r="E299" s="9">
        <v>0</v>
      </c>
      <c r="F299" s="9">
        <v>0</v>
      </c>
      <c r="G299" s="9">
        <f t="shared" si="8"/>
        <v>0</v>
      </c>
      <c r="H299" s="9">
        <f t="shared" si="9"/>
        <v>342.7</v>
      </c>
      <c r="I299" s="8" t="s">
        <v>423</v>
      </c>
    </row>
    <row r="300" spans="2:9" x14ac:dyDescent="0.3">
      <c r="B300" s="8" t="s">
        <v>426</v>
      </c>
      <c r="C300" s="8" t="s">
        <v>427</v>
      </c>
      <c r="D300" s="9">
        <v>10643.51</v>
      </c>
      <c r="E300" s="9">
        <v>8216.15</v>
      </c>
      <c r="F300" s="9">
        <v>3000</v>
      </c>
      <c r="G300" s="9">
        <f t="shared" si="8"/>
        <v>5216.1499999999996</v>
      </c>
      <c r="H300" s="9">
        <f t="shared" si="9"/>
        <v>15859.66</v>
      </c>
      <c r="I300" s="8" t="s">
        <v>423</v>
      </c>
    </row>
    <row r="301" spans="2:9" x14ac:dyDescent="0.3">
      <c r="B301" s="8" t="s">
        <v>428</v>
      </c>
      <c r="C301" s="8" t="s">
        <v>429</v>
      </c>
      <c r="D301" s="9">
        <v>3750.74</v>
      </c>
      <c r="E301" s="9">
        <v>3151.5</v>
      </c>
      <c r="F301" s="9">
        <v>0</v>
      </c>
      <c r="G301" s="9">
        <f t="shared" si="8"/>
        <v>3151.5</v>
      </c>
      <c r="H301" s="9">
        <f t="shared" si="9"/>
        <v>6902.24</v>
      </c>
      <c r="I301" s="8" t="s">
        <v>423</v>
      </c>
    </row>
    <row r="302" spans="2:9" x14ac:dyDescent="0.3">
      <c r="B302" s="15" t="s">
        <v>602</v>
      </c>
      <c r="C302" s="15" t="s">
        <v>603</v>
      </c>
      <c r="D302" s="17"/>
      <c r="E302" s="17"/>
      <c r="F302" s="17"/>
      <c r="G302" s="17"/>
      <c r="H302" s="17"/>
      <c r="I302" s="15"/>
    </row>
    <row r="303" spans="2:9" x14ac:dyDescent="0.3">
      <c r="B303" s="8" t="s">
        <v>604</v>
      </c>
      <c r="C303" s="8" t="s">
        <v>605</v>
      </c>
      <c r="D303" s="9">
        <v>4688</v>
      </c>
      <c r="E303" s="9">
        <v>0</v>
      </c>
      <c r="F303" s="9">
        <v>0</v>
      </c>
      <c r="G303" s="9">
        <f t="shared" si="8"/>
        <v>0</v>
      </c>
      <c r="H303" s="9">
        <f t="shared" si="9"/>
        <v>4688</v>
      </c>
      <c r="I303" s="8" t="s">
        <v>606</v>
      </c>
    </row>
    <row r="304" spans="2:9" x14ac:dyDescent="0.3">
      <c r="B304" s="15" t="s">
        <v>697</v>
      </c>
      <c r="C304" s="15" t="s">
        <v>698</v>
      </c>
      <c r="D304" s="17"/>
      <c r="E304" s="17"/>
      <c r="F304" s="17"/>
      <c r="G304" s="17"/>
      <c r="H304" s="17"/>
      <c r="I304" s="15"/>
    </row>
    <row r="305" spans="1:9" x14ac:dyDescent="0.3">
      <c r="B305" s="8" t="s">
        <v>699</v>
      </c>
      <c r="C305" s="8" t="s">
        <v>700</v>
      </c>
      <c r="D305" s="9">
        <v>0</v>
      </c>
      <c r="E305" s="9">
        <v>308</v>
      </c>
      <c r="F305" s="9">
        <v>0</v>
      </c>
      <c r="G305" s="9">
        <f t="shared" si="8"/>
        <v>308</v>
      </c>
      <c r="H305" s="9">
        <f t="shared" si="9"/>
        <v>308</v>
      </c>
      <c r="I305" s="8" t="s">
        <v>701</v>
      </c>
    </row>
    <row r="306" spans="1:9" x14ac:dyDescent="0.3">
      <c r="B306" s="15" t="s">
        <v>430</v>
      </c>
      <c r="C306" s="15" t="s">
        <v>431</v>
      </c>
      <c r="D306" s="17"/>
      <c r="E306" s="17"/>
      <c r="F306" s="17"/>
      <c r="G306" s="17"/>
      <c r="H306" s="17"/>
      <c r="I306" s="15"/>
    </row>
    <row r="307" spans="1:9" x14ac:dyDescent="0.3">
      <c r="B307" s="8" t="s">
        <v>432</v>
      </c>
      <c r="C307" s="8" t="s">
        <v>433</v>
      </c>
      <c r="D307" s="9">
        <v>5.1100000000000003</v>
      </c>
      <c r="E307" s="9">
        <v>3.09</v>
      </c>
      <c r="F307" s="9">
        <v>0.72</v>
      </c>
      <c r="G307" s="9">
        <f t="shared" si="8"/>
        <v>2.37</v>
      </c>
      <c r="H307" s="9">
        <f t="shared" si="9"/>
        <v>7.48</v>
      </c>
      <c r="I307" s="8" t="s">
        <v>434</v>
      </c>
    </row>
    <row r="308" spans="1:9" x14ac:dyDescent="0.3">
      <c r="B308" s="8" t="s">
        <v>607</v>
      </c>
      <c r="C308" s="8" t="s">
        <v>608</v>
      </c>
      <c r="D308" s="9">
        <v>406.69</v>
      </c>
      <c r="E308" s="9">
        <v>0</v>
      </c>
      <c r="F308" s="9">
        <v>0</v>
      </c>
      <c r="G308" s="9">
        <f t="shared" si="8"/>
        <v>0</v>
      </c>
      <c r="H308" s="9">
        <f t="shared" si="9"/>
        <v>406.69</v>
      </c>
      <c r="I308" s="8" t="s">
        <v>434</v>
      </c>
    </row>
    <row r="309" spans="1:9" x14ac:dyDescent="0.3">
      <c r="B309" s="15" t="s">
        <v>435</v>
      </c>
      <c r="C309" s="15" t="s">
        <v>436</v>
      </c>
      <c r="D309" s="17"/>
      <c r="E309" s="17"/>
      <c r="F309" s="17"/>
      <c r="G309" s="17"/>
      <c r="H309" s="17"/>
      <c r="I309" s="15"/>
    </row>
    <row r="310" spans="1:9" x14ac:dyDescent="0.3">
      <c r="B310" s="8" t="s">
        <v>437</v>
      </c>
      <c r="C310" s="8" t="s">
        <v>438</v>
      </c>
      <c r="D310" s="9">
        <v>769.7</v>
      </c>
      <c r="E310" s="9">
        <v>160.63999999999999</v>
      </c>
      <c r="F310" s="9">
        <v>0</v>
      </c>
      <c r="G310" s="9">
        <f t="shared" si="8"/>
        <v>160.63999999999999</v>
      </c>
      <c r="H310" s="9">
        <f t="shared" si="9"/>
        <v>930.34</v>
      </c>
      <c r="I310" s="8" t="s">
        <v>439</v>
      </c>
    </row>
    <row r="311" spans="1:9" x14ac:dyDescent="0.3">
      <c r="B311" s="15" t="s">
        <v>440</v>
      </c>
      <c r="C311" s="15" t="s">
        <v>441</v>
      </c>
      <c r="D311" s="17">
        <f t="shared" ref="D311" si="10">SUM(D8:D310)</f>
        <v>3.6743585951626301E-10</v>
      </c>
      <c r="E311" s="17">
        <f>SUM(E8:E310)</f>
        <v>65156594.550000012</v>
      </c>
      <c r="F311" s="17">
        <f t="shared" ref="F311:H311" si="11">SUM(F8:F310)</f>
        <v>65156594.550000012</v>
      </c>
      <c r="G311" s="17">
        <f t="shared" si="11"/>
        <v>-1.1752945283660665E-9</v>
      </c>
      <c r="H311" s="17">
        <f t="shared" si="11"/>
        <v>-4.2211922846036032E-10</v>
      </c>
      <c r="I311" s="15"/>
    </row>
    <row r="312" spans="1:9" x14ac:dyDescent="0.3">
      <c r="B312" s="2"/>
      <c r="C312" s="2"/>
      <c r="D312" s="3"/>
      <c r="E312" s="3"/>
      <c r="F312" s="3"/>
      <c r="G312" s="3"/>
      <c r="H312" s="3"/>
      <c r="I312" s="2"/>
    </row>
    <row r="313" spans="1:9" ht="15" thickBot="1" x14ac:dyDescent="0.35">
      <c r="A313" s="1"/>
      <c r="B313" s="4"/>
      <c r="C313" s="4"/>
      <c r="D313" s="5"/>
      <c r="E313" s="5">
        <v>65156594.530000001</v>
      </c>
      <c r="F313" s="5">
        <v>65156594.530000001</v>
      </c>
      <c r="G313" s="5"/>
      <c r="H313" s="5"/>
      <c r="I313" s="4"/>
    </row>
    <row r="314" spans="1:9" x14ac:dyDescent="0.3">
      <c r="B314" s="2"/>
      <c r="C314" s="2"/>
      <c r="D314" s="3"/>
      <c r="E314" s="3">
        <f>E311-E313</f>
        <v>2.000001072883606E-2</v>
      </c>
      <c r="F314" s="3">
        <f>F311-F313</f>
        <v>2.000001072883606E-2</v>
      </c>
      <c r="G314" s="3"/>
      <c r="H314" s="3"/>
      <c r="I314" s="2"/>
    </row>
  </sheetData>
  <autoFilter ref="B7:I311" xr:uid="{179185E4-D2F1-4078-B36C-3619BA2C5281}"/>
  <mergeCells count="3">
    <mergeCell ref="B1:I1"/>
    <mergeCell ref="B2:I2"/>
    <mergeCell ref="B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8DB4-2983-4561-A016-8D2A53123F58}">
  <dimension ref="A1:J333"/>
  <sheetViews>
    <sheetView showGridLines="0" tabSelected="1" workbookViewId="0"/>
  </sheetViews>
  <sheetFormatPr defaultRowHeight="14.4" x14ac:dyDescent="0.3"/>
  <cols>
    <col min="3" max="3" width="50.44140625" customWidth="1"/>
    <col min="4" max="4" width="16.109375" style="14" bestFit="1" customWidth="1"/>
    <col min="5" max="6" width="14.109375" style="14" bestFit="1" customWidth="1"/>
    <col min="7" max="7" width="13.21875" style="14" bestFit="1" customWidth="1"/>
    <col min="8" max="8" width="15" style="14" bestFit="1" customWidth="1"/>
    <col min="9" max="9" width="32.6640625" bestFit="1" customWidth="1"/>
  </cols>
  <sheetData>
    <row r="1" spans="2:10" x14ac:dyDescent="0.3">
      <c r="B1" s="18" t="s">
        <v>0</v>
      </c>
      <c r="C1" s="19"/>
      <c r="D1" s="19"/>
      <c r="E1" s="19"/>
      <c r="F1" s="19"/>
      <c r="G1" s="19"/>
      <c r="H1" s="19"/>
      <c r="I1" s="19"/>
    </row>
    <row r="2" spans="2:10" x14ac:dyDescent="0.3">
      <c r="B2" s="18" t="s">
        <v>702</v>
      </c>
      <c r="C2" s="18"/>
      <c r="D2" s="18"/>
      <c r="E2" s="18"/>
      <c r="F2" s="18"/>
      <c r="G2" s="18"/>
      <c r="H2" s="18"/>
      <c r="I2" s="18"/>
    </row>
    <row r="3" spans="2:10" x14ac:dyDescent="0.3">
      <c r="B3" s="18"/>
      <c r="C3" s="18"/>
      <c r="D3" s="18"/>
      <c r="E3" s="18"/>
      <c r="F3" s="18"/>
      <c r="G3" s="18"/>
      <c r="H3" s="18"/>
      <c r="I3" s="18"/>
    </row>
    <row r="4" spans="2:10" x14ac:dyDescent="0.3">
      <c r="B4" s="2"/>
      <c r="C4" s="2"/>
      <c r="D4" s="10"/>
      <c r="E4" s="10"/>
      <c r="F4" s="10"/>
      <c r="G4" s="10"/>
      <c r="H4" s="10"/>
      <c r="I4" s="2"/>
    </row>
    <row r="5" spans="2:10" x14ac:dyDescent="0.3">
      <c r="B5" s="2"/>
      <c r="C5" s="2"/>
      <c r="D5" s="10"/>
      <c r="E5" s="10"/>
      <c r="F5" s="10"/>
      <c r="G5" s="10"/>
      <c r="H5" s="10"/>
      <c r="I5" s="2"/>
    </row>
    <row r="6" spans="2:10" x14ac:dyDescent="0.3">
      <c r="B6" s="6" t="s">
        <v>2</v>
      </c>
      <c r="C6" s="6" t="s">
        <v>3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  <c r="I6" s="6" t="s">
        <v>9</v>
      </c>
      <c r="J6" s="1"/>
    </row>
    <row r="7" spans="2:10" x14ac:dyDescent="0.3">
      <c r="B7" s="6"/>
      <c r="C7" s="6"/>
      <c r="D7" s="11"/>
      <c r="E7" s="11"/>
      <c r="F7" s="11"/>
      <c r="G7" s="11"/>
      <c r="H7" s="11"/>
      <c r="I7" s="6"/>
      <c r="J7" s="1"/>
    </row>
    <row r="8" spans="2:10" x14ac:dyDescent="0.3">
      <c r="B8" s="15" t="s">
        <v>10</v>
      </c>
      <c r="C8" s="15" t="s">
        <v>11</v>
      </c>
      <c r="D8" s="16"/>
      <c r="E8" s="16"/>
      <c r="F8" s="16"/>
      <c r="G8" s="16"/>
      <c r="H8" s="16"/>
      <c r="I8" s="15"/>
    </row>
    <row r="9" spans="2:10" x14ac:dyDescent="0.3">
      <c r="B9" s="8" t="s">
        <v>12</v>
      </c>
      <c r="C9" s="8" t="s">
        <v>13</v>
      </c>
      <c r="D9" s="12">
        <v>0</v>
      </c>
      <c r="E9" s="12">
        <v>0</v>
      </c>
      <c r="F9" s="12">
        <v>0</v>
      </c>
      <c r="G9" s="12">
        <f t="shared" ref="G9:G72" si="0">E9-F9</f>
        <v>0</v>
      </c>
      <c r="H9" s="12">
        <f t="shared" ref="H9:H72" si="1">D9+G9</f>
        <v>0</v>
      </c>
      <c r="I9" s="8" t="s">
        <v>14</v>
      </c>
    </row>
    <row r="10" spans="2:10" x14ac:dyDescent="0.3">
      <c r="B10" s="15" t="s">
        <v>15</v>
      </c>
      <c r="C10" s="15" t="s">
        <v>16</v>
      </c>
      <c r="D10" s="16"/>
      <c r="E10" s="16"/>
      <c r="F10" s="16"/>
      <c r="G10" s="16"/>
      <c r="H10" s="16"/>
      <c r="I10" s="15"/>
    </row>
    <row r="11" spans="2:10" x14ac:dyDescent="0.3">
      <c r="B11" s="15" t="s">
        <v>17</v>
      </c>
      <c r="C11" s="15" t="s">
        <v>18</v>
      </c>
      <c r="D11" s="16"/>
      <c r="E11" s="16"/>
      <c r="F11" s="16"/>
      <c r="G11" s="16"/>
      <c r="H11" s="16"/>
      <c r="I11" s="15"/>
    </row>
    <row r="12" spans="2:10" x14ac:dyDescent="0.3">
      <c r="B12" s="8" t="s">
        <v>19</v>
      </c>
      <c r="C12" s="8" t="s">
        <v>20</v>
      </c>
      <c r="D12" s="12">
        <v>16046.04</v>
      </c>
      <c r="E12" s="12">
        <v>332775</v>
      </c>
      <c r="F12" s="12">
        <v>327078</v>
      </c>
      <c r="G12" s="12">
        <f t="shared" si="0"/>
        <v>5697</v>
      </c>
      <c r="H12" s="12">
        <f t="shared" si="1"/>
        <v>21743.040000000001</v>
      </c>
      <c r="I12" s="8" t="s">
        <v>21</v>
      </c>
    </row>
    <row r="13" spans="2:10" x14ac:dyDescent="0.3">
      <c r="B13" s="8" t="s">
        <v>22</v>
      </c>
      <c r="C13" s="8" t="s">
        <v>23</v>
      </c>
      <c r="D13" s="12">
        <v>0</v>
      </c>
      <c r="E13" s="12">
        <v>22060</v>
      </c>
      <c r="F13" s="12">
        <v>22060</v>
      </c>
      <c r="G13" s="12">
        <f t="shared" si="0"/>
        <v>0</v>
      </c>
      <c r="H13" s="12">
        <f t="shared" si="1"/>
        <v>0</v>
      </c>
      <c r="I13" s="8" t="s">
        <v>21</v>
      </c>
    </row>
    <row r="14" spans="2:10" x14ac:dyDescent="0.3">
      <c r="B14" s="8" t="s">
        <v>24</v>
      </c>
      <c r="C14" s="8" t="s">
        <v>25</v>
      </c>
      <c r="D14" s="12">
        <v>0</v>
      </c>
      <c r="E14" s="12">
        <v>305018</v>
      </c>
      <c r="F14" s="12">
        <v>305018</v>
      </c>
      <c r="G14" s="12">
        <f t="shared" si="0"/>
        <v>0</v>
      </c>
      <c r="H14" s="12">
        <f t="shared" si="1"/>
        <v>0</v>
      </c>
      <c r="I14" s="8" t="s">
        <v>21</v>
      </c>
    </row>
    <row r="15" spans="2:10" x14ac:dyDescent="0.3">
      <c r="B15" s="8" t="s">
        <v>26</v>
      </c>
      <c r="C15" s="8" t="s">
        <v>27</v>
      </c>
      <c r="D15" s="12">
        <v>0</v>
      </c>
      <c r="E15" s="12">
        <v>70000</v>
      </c>
      <c r="F15" s="12">
        <v>70000</v>
      </c>
      <c r="G15" s="12">
        <f t="shared" si="0"/>
        <v>0</v>
      </c>
      <c r="H15" s="12">
        <f t="shared" si="1"/>
        <v>0</v>
      </c>
      <c r="I15" s="8" t="s">
        <v>21</v>
      </c>
    </row>
    <row r="16" spans="2:10" x14ac:dyDescent="0.3">
      <c r="B16" s="15" t="s">
        <v>28</v>
      </c>
      <c r="C16" s="15" t="s">
        <v>29</v>
      </c>
      <c r="D16" s="16"/>
      <c r="E16" s="16"/>
      <c r="F16" s="16"/>
      <c r="G16" s="16"/>
      <c r="H16" s="16"/>
      <c r="I16" s="15"/>
    </row>
    <row r="17" spans="2:9" x14ac:dyDescent="0.3">
      <c r="B17" s="8" t="s">
        <v>645</v>
      </c>
      <c r="C17" s="8" t="s">
        <v>646</v>
      </c>
      <c r="D17" s="12">
        <v>-6842.5</v>
      </c>
      <c r="E17" s="12">
        <v>6842.5</v>
      </c>
      <c r="F17" s="12">
        <v>0</v>
      </c>
      <c r="G17" s="12">
        <f t="shared" si="0"/>
        <v>6842.5</v>
      </c>
      <c r="H17" s="12">
        <f t="shared" si="1"/>
        <v>0</v>
      </c>
      <c r="I17" s="8" t="s">
        <v>32</v>
      </c>
    </row>
    <row r="18" spans="2:9" x14ac:dyDescent="0.3">
      <c r="B18" s="8" t="s">
        <v>30</v>
      </c>
      <c r="C18" s="8" t="s">
        <v>31</v>
      </c>
      <c r="D18" s="12">
        <v>35871.089999999997</v>
      </c>
      <c r="E18" s="12">
        <v>1414209.57</v>
      </c>
      <c r="F18" s="12">
        <v>1418176.41</v>
      </c>
      <c r="G18" s="12">
        <f t="shared" si="0"/>
        <v>-3966.839999999851</v>
      </c>
      <c r="H18" s="12">
        <f t="shared" si="1"/>
        <v>31904.250000000146</v>
      </c>
      <c r="I18" s="8" t="s">
        <v>32</v>
      </c>
    </row>
    <row r="19" spans="2:9" x14ac:dyDescent="0.3">
      <c r="B19" s="8" t="s">
        <v>443</v>
      </c>
      <c r="C19" s="8" t="s">
        <v>444</v>
      </c>
      <c r="D19" s="12">
        <v>100</v>
      </c>
      <c r="E19" s="12">
        <v>0</v>
      </c>
      <c r="F19" s="12">
        <v>0</v>
      </c>
      <c r="G19" s="12">
        <f t="shared" si="0"/>
        <v>0</v>
      </c>
      <c r="H19" s="12">
        <f t="shared" si="1"/>
        <v>100</v>
      </c>
      <c r="I19" s="8" t="s">
        <v>32</v>
      </c>
    </row>
    <row r="20" spans="2:9" x14ac:dyDescent="0.3">
      <c r="B20" s="15" t="s">
        <v>33</v>
      </c>
      <c r="C20" s="15" t="s">
        <v>34</v>
      </c>
      <c r="D20" s="16"/>
      <c r="E20" s="16"/>
      <c r="F20" s="16"/>
      <c r="G20" s="16"/>
      <c r="H20" s="16"/>
      <c r="I20" s="15"/>
    </row>
    <row r="21" spans="2:9" x14ac:dyDescent="0.3">
      <c r="B21" s="8" t="s">
        <v>35</v>
      </c>
      <c r="C21" s="8" t="s">
        <v>36</v>
      </c>
      <c r="D21" s="12">
        <v>0</v>
      </c>
      <c r="E21" s="12">
        <v>379840</v>
      </c>
      <c r="F21" s="12">
        <v>379840</v>
      </c>
      <c r="G21" s="12">
        <f t="shared" si="0"/>
        <v>0</v>
      </c>
      <c r="H21" s="12">
        <f t="shared" si="1"/>
        <v>0</v>
      </c>
      <c r="I21" s="8" t="s">
        <v>37</v>
      </c>
    </row>
    <row r="22" spans="2:9" x14ac:dyDescent="0.3">
      <c r="B22" s="15" t="s">
        <v>38</v>
      </c>
      <c r="C22" s="15" t="s">
        <v>39</v>
      </c>
      <c r="D22" s="16"/>
      <c r="E22" s="16"/>
      <c r="F22" s="16"/>
      <c r="G22" s="16"/>
      <c r="H22" s="16"/>
      <c r="I22" s="15"/>
    </row>
    <row r="23" spans="2:9" x14ac:dyDescent="0.3">
      <c r="B23" s="8" t="s">
        <v>40</v>
      </c>
      <c r="C23" s="8" t="s">
        <v>41</v>
      </c>
      <c r="D23" s="12">
        <v>52.8</v>
      </c>
      <c r="E23" s="12">
        <v>234025</v>
      </c>
      <c r="F23" s="12">
        <v>235300</v>
      </c>
      <c r="G23" s="12">
        <f t="shared" si="0"/>
        <v>-1275</v>
      </c>
      <c r="H23" s="12">
        <f t="shared" si="1"/>
        <v>-1222.2</v>
      </c>
      <c r="I23" s="8" t="s">
        <v>42</v>
      </c>
    </row>
    <row r="24" spans="2:9" x14ac:dyDescent="0.3">
      <c r="B24" s="8" t="s">
        <v>45</v>
      </c>
      <c r="C24" s="8" t="s">
        <v>46</v>
      </c>
      <c r="D24" s="12">
        <v>-0.15</v>
      </c>
      <c r="E24" s="12">
        <v>3210.11</v>
      </c>
      <c r="F24" s="12">
        <v>3210</v>
      </c>
      <c r="G24" s="12">
        <f t="shared" si="0"/>
        <v>0.11000000000012733</v>
      </c>
      <c r="H24" s="12">
        <f t="shared" si="1"/>
        <v>-3.9999999999872665E-2</v>
      </c>
      <c r="I24" s="8" t="s">
        <v>42</v>
      </c>
    </row>
    <row r="25" spans="2:9" x14ac:dyDescent="0.3">
      <c r="B25" s="8" t="s">
        <v>47</v>
      </c>
      <c r="C25" s="8" t="s">
        <v>48</v>
      </c>
      <c r="D25" s="12">
        <v>9496.4500000000007</v>
      </c>
      <c r="E25" s="12">
        <v>92795.3</v>
      </c>
      <c r="F25" s="12">
        <v>68638</v>
      </c>
      <c r="G25" s="12">
        <f t="shared" si="0"/>
        <v>24157.300000000003</v>
      </c>
      <c r="H25" s="12">
        <f t="shared" si="1"/>
        <v>33653.75</v>
      </c>
      <c r="I25" s="8" t="s">
        <v>42</v>
      </c>
    </row>
    <row r="26" spans="2:9" x14ac:dyDescent="0.3">
      <c r="B26" s="8" t="s">
        <v>445</v>
      </c>
      <c r="C26" s="8" t="s">
        <v>446</v>
      </c>
      <c r="D26" s="12">
        <v>1998.9</v>
      </c>
      <c r="E26" s="12">
        <v>2025.08</v>
      </c>
      <c r="F26" s="12">
        <v>3750.15</v>
      </c>
      <c r="G26" s="12">
        <f t="shared" si="0"/>
        <v>-1725.0700000000002</v>
      </c>
      <c r="H26" s="12">
        <f t="shared" si="1"/>
        <v>273.82999999999993</v>
      </c>
      <c r="I26" s="8" t="s">
        <v>42</v>
      </c>
    </row>
    <row r="27" spans="2:9" x14ac:dyDescent="0.3">
      <c r="B27" s="8" t="s">
        <v>49</v>
      </c>
      <c r="C27" s="8" t="s">
        <v>50</v>
      </c>
      <c r="D27" s="12">
        <v>4836.8</v>
      </c>
      <c r="E27" s="12">
        <v>1994.1</v>
      </c>
      <c r="F27" s="12">
        <v>4025</v>
      </c>
      <c r="G27" s="12">
        <f t="shared" si="0"/>
        <v>-2030.9</v>
      </c>
      <c r="H27" s="12">
        <f t="shared" si="1"/>
        <v>2805.9</v>
      </c>
      <c r="I27" s="8" t="s">
        <v>42</v>
      </c>
    </row>
    <row r="28" spans="2:9" x14ac:dyDescent="0.3">
      <c r="B28" s="8" t="s">
        <v>51</v>
      </c>
      <c r="C28" s="8" t="s">
        <v>52</v>
      </c>
      <c r="D28" s="12">
        <v>6631.45</v>
      </c>
      <c r="E28" s="12">
        <v>0</v>
      </c>
      <c r="F28" s="12">
        <v>0</v>
      </c>
      <c r="G28" s="12">
        <f t="shared" si="0"/>
        <v>0</v>
      </c>
      <c r="H28" s="12">
        <f t="shared" si="1"/>
        <v>6631.45</v>
      </c>
      <c r="I28" s="8" t="s">
        <v>42</v>
      </c>
    </row>
    <row r="29" spans="2:9" x14ac:dyDescent="0.3">
      <c r="B29" s="8" t="s">
        <v>53</v>
      </c>
      <c r="C29" s="8" t="s">
        <v>54</v>
      </c>
      <c r="D29" s="12">
        <v>9310.4500000000007</v>
      </c>
      <c r="E29" s="12">
        <v>19492.5</v>
      </c>
      <c r="F29" s="12">
        <v>19000</v>
      </c>
      <c r="G29" s="12">
        <f t="shared" si="0"/>
        <v>492.5</v>
      </c>
      <c r="H29" s="12">
        <f t="shared" si="1"/>
        <v>9802.9500000000007</v>
      </c>
      <c r="I29" s="8" t="s">
        <v>42</v>
      </c>
    </row>
    <row r="30" spans="2:9" x14ac:dyDescent="0.3">
      <c r="B30" s="8" t="s">
        <v>55</v>
      </c>
      <c r="C30" s="8" t="s">
        <v>56</v>
      </c>
      <c r="D30" s="12">
        <v>58223.65</v>
      </c>
      <c r="E30" s="12">
        <v>196456.8</v>
      </c>
      <c r="F30" s="12">
        <v>90000</v>
      </c>
      <c r="G30" s="12">
        <f t="shared" si="0"/>
        <v>106456.79999999999</v>
      </c>
      <c r="H30" s="12">
        <f t="shared" si="1"/>
        <v>164680.44999999998</v>
      </c>
      <c r="I30" s="8" t="s">
        <v>42</v>
      </c>
    </row>
    <row r="31" spans="2:9" x14ac:dyDescent="0.3">
      <c r="B31" s="8" t="s">
        <v>447</v>
      </c>
      <c r="C31" s="8" t="s">
        <v>448</v>
      </c>
      <c r="D31" s="12">
        <v>-7.22</v>
      </c>
      <c r="E31" s="12">
        <v>0</v>
      </c>
      <c r="F31" s="12">
        <v>0</v>
      </c>
      <c r="G31" s="12">
        <f t="shared" si="0"/>
        <v>0</v>
      </c>
      <c r="H31" s="12">
        <f t="shared" si="1"/>
        <v>-7.22</v>
      </c>
      <c r="I31" s="8" t="s">
        <v>42</v>
      </c>
    </row>
    <row r="32" spans="2:9" x14ac:dyDescent="0.3">
      <c r="B32" s="8" t="s">
        <v>57</v>
      </c>
      <c r="C32" s="8" t="s">
        <v>58</v>
      </c>
      <c r="D32" s="12">
        <v>-6880</v>
      </c>
      <c r="E32" s="12">
        <v>0</v>
      </c>
      <c r="F32" s="12">
        <v>0</v>
      </c>
      <c r="G32" s="12">
        <f t="shared" si="0"/>
        <v>0</v>
      </c>
      <c r="H32" s="12">
        <f t="shared" si="1"/>
        <v>-6880</v>
      </c>
      <c r="I32" s="8" t="s">
        <v>42</v>
      </c>
    </row>
    <row r="33" spans="2:9" x14ac:dyDescent="0.3">
      <c r="B33" s="8" t="s">
        <v>449</v>
      </c>
      <c r="C33" s="8" t="s">
        <v>450</v>
      </c>
      <c r="D33" s="12">
        <v>-0.05</v>
      </c>
      <c r="E33" s="12">
        <v>8293.7999999999993</v>
      </c>
      <c r="F33" s="12">
        <v>6193.8</v>
      </c>
      <c r="G33" s="12">
        <f t="shared" si="0"/>
        <v>2099.9999999999991</v>
      </c>
      <c r="H33" s="12">
        <f t="shared" si="1"/>
        <v>2099.9499999999989</v>
      </c>
      <c r="I33" s="8" t="s">
        <v>42</v>
      </c>
    </row>
    <row r="34" spans="2:9" x14ac:dyDescent="0.3">
      <c r="B34" s="8" t="s">
        <v>61</v>
      </c>
      <c r="C34" s="8" t="s">
        <v>62</v>
      </c>
      <c r="D34" s="12">
        <v>702.24</v>
      </c>
      <c r="E34" s="12">
        <v>101050.5</v>
      </c>
      <c r="F34" s="12">
        <v>100000</v>
      </c>
      <c r="G34" s="12">
        <f t="shared" si="0"/>
        <v>1050.5</v>
      </c>
      <c r="H34" s="12">
        <f t="shared" si="1"/>
        <v>1752.74</v>
      </c>
      <c r="I34" s="8" t="s">
        <v>42</v>
      </c>
    </row>
    <row r="35" spans="2:9" x14ac:dyDescent="0.3">
      <c r="B35" s="8" t="s">
        <v>647</v>
      </c>
      <c r="C35" s="8" t="s">
        <v>648</v>
      </c>
      <c r="D35" s="12">
        <v>-0.2</v>
      </c>
      <c r="E35" s="12">
        <v>0</v>
      </c>
      <c r="F35" s="12">
        <v>0</v>
      </c>
      <c r="G35" s="12">
        <f t="shared" si="0"/>
        <v>0</v>
      </c>
      <c r="H35" s="12">
        <f t="shared" si="1"/>
        <v>-0.2</v>
      </c>
      <c r="I35" s="8" t="s">
        <v>42</v>
      </c>
    </row>
    <row r="36" spans="2:9" x14ac:dyDescent="0.3">
      <c r="B36" s="8" t="s">
        <v>451</v>
      </c>
      <c r="C36" s="8" t="s">
        <v>452</v>
      </c>
      <c r="D36" s="12">
        <v>5890.58</v>
      </c>
      <c r="E36" s="12">
        <v>0</v>
      </c>
      <c r="F36" s="12">
        <v>0</v>
      </c>
      <c r="G36" s="12">
        <f t="shared" si="0"/>
        <v>0</v>
      </c>
      <c r="H36" s="12">
        <f t="shared" si="1"/>
        <v>5890.58</v>
      </c>
      <c r="I36" s="8" t="s">
        <v>42</v>
      </c>
    </row>
    <row r="37" spans="2:9" x14ac:dyDescent="0.3">
      <c r="B37" s="8" t="s">
        <v>453</v>
      </c>
      <c r="C37" s="8" t="s">
        <v>454</v>
      </c>
      <c r="D37" s="12">
        <v>251780.95</v>
      </c>
      <c r="E37" s="12">
        <v>0</v>
      </c>
      <c r="F37" s="12">
        <v>0</v>
      </c>
      <c r="G37" s="12">
        <f t="shared" si="0"/>
        <v>0</v>
      </c>
      <c r="H37" s="12">
        <f t="shared" si="1"/>
        <v>251780.95</v>
      </c>
      <c r="I37" s="8" t="s">
        <v>42</v>
      </c>
    </row>
    <row r="38" spans="2:9" x14ac:dyDescent="0.3">
      <c r="B38" s="8" t="s">
        <v>455</v>
      </c>
      <c r="C38" s="8" t="s">
        <v>456</v>
      </c>
      <c r="D38" s="12">
        <v>0</v>
      </c>
      <c r="E38" s="12">
        <v>2328.75</v>
      </c>
      <c r="F38" s="12">
        <v>2328.75</v>
      </c>
      <c r="G38" s="12">
        <f t="shared" si="0"/>
        <v>0</v>
      </c>
      <c r="H38" s="12">
        <f t="shared" si="1"/>
        <v>0</v>
      </c>
      <c r="I38" s="8" t="s">
        <v>42</v>
      </c>
    </row>
    <row r="39" spans="2:9" x14ac:dyDescent="0.3">
      <c r="B39" s="8" t="s">
        <v>63</v>
      </c>
      <c r="C39" s="8" t="s">
        <v>64</v>
      </c>
      <c r="D39" s="12">
        <v>-34373.51</v>
      </c>
      <c r="E39" s="12">
        <v>44660.32</v>
      </c>
      <c r="F39" s="12">
        <v>0</v>
      </c>
      <c r="G39" s="12">
        <f t="shared" si="0"/>
        <v>44660.32</v>
      </c>
      <c r="H39" s="12">
        <f t="shared" si="1"/>
        <v>10286.809999999998</v>
      </c>
      <c r="I39" s="8" t="s">
        <v>42</v>
      </c>
    </row>
    <row r="40" spans="2:9" x14ac:dyDescent="0.3">
      <c r="B40" s="8" t="s">
        <v>65</v>
      </c>
      <c r="C40" s="8" t="s">
        <v>66</v>
      </c>
      <c r="D40" s="12">
        <v>27840.1</v>
      </c>
      <c r="E40" s="12">
        <v>61065</v>
      </c>
      <c r="F40" s="12">
        <v>68000</v>
      </c>
      <c r="G40" s="12">
        <f t="shared" si="0"/>
        <v>-6935</v>
      </c>
      <c r="H40" s="12">
        <f t="shared" si="1"/>
        <v>20905.099999999999</v>
      </c>
      <c r="I40" s="8" t="s">
        <v>42</v>
      </c>
    </row>
    <row r="41" spans="2:9" x14ac:dyDescent="0.3">
      <c r="B41" s="8" t="s">
        <v>457</v>
      </c>
      <c r="C41" s="8" t="s">
        <v>458</v>
      </c>
      <c r="D41" s="12">
        <v>0.75</v>
      </c>
      <c r="E41" s="12">
        <v>0</v>
      </c>
      <c r="F41" s="12">
        <v>0</v>
      </c>
      <c r="G41" s="12">
        <f t="shared" si="0"/>
        <v>0</v>
      </c>
      <c r="H41" s="12">
        <f t="shared" si="1"/>
        <v>0.75</v>
      </c>
      <c r="I41" s="8" t="s">
        <v>42</v>
      </c>
    </row>
    <row r="42" spans="2:9" x14ac:dyDescent="0.3">
      <c r="B42" s="8" t="s">
        <v>67</v>
      </c>
      <c r="C42" s="8" t="s">
        <v>68</v>
      </c>
      <c r="D42" s="12">
        <v>76234.94</v>
      </c>
      <c r="E42" s="12">
        <v>0</v>
      </c>
      <c r="F42" s="12">
        <v>69271.38</v>
      </c>
      <c r="G42" s="12">
        <f t="shared" si="0"/>
        <v>-69271.38</v>
      </c>
      <c r="H42" s="12">
        <f t="shared" si="1"/>
        <v>6963.5599999999977</v>
      </c>
      <c r="I42" s="8" t="s">
        <v>42</v>
      </c>
    </row>
    <row r="43" spans="2:9" x14ac:dyDescent="0.3">
      <c r="B43" s="8" t="s">
        <v>69</v>
      </c>
      <c r="C43" s="8" t="s">
        <v>70</v>
      </c>
      <c r="D43" s="12">
        <v>2.9</v>
      </c>
      <c r="E43" s="12">
        <v>0</v>
      </c>
      <c r="F43" s="12">
        <v>0</v>
      </c>
      <c r="G43" s="12">
        <f t="shared" si="0"/>
        <v>0</v>
      </c>
      <c r="H43" s="12">
        <f t="shared" si="1"/>
        <v>2.9</v>
      </c>
      <c r="I43" s="8" t="s">
        <v>42</v>
      </c>
    </row>
    <row r="44" spans="2:9" x14ac:dyDescent="0.3">
      <c r="B44" s="8" t="s">
        <v>71</v>
      </c>
      <c r="C44" s="8" t="s">
        <v>72</v>
      </c>
      <c r="D44" s="12">
        <v>0.32</v>
      </c>
      <c r="E44" s="12">
        <v>5998</v>
      </c>
      <c r="F44" s="12">
        <v>5998</v>
      </c>
      <c r="G44" s="12">
        <f t="shared" si="0"/>
        <v>0</v>
      </c>
      <c r="H44" s="12">
        <f t="shared" si="1"/>
        <v>0.32</v>
      </c>
      <c r="I44" s="8" t="s">
        <v>42</v>
      </c>
    </row>
    <row r="45" spans="2:9" x14ac:dyDescent="0.3">
      <c r="B45" s="8" t="s">
        <v>73</v>
      </c>
      <c r="C45" s="8" t="s">
        <v>74</v>
      </c>
      <c r="D45" s="12">
        <v>-0.5</v>
      </c>
      <c r="E45" s="12">
        <v>0</v>
      </c>
      <c r="F45" s="12">
        <v>0</v>
      </c>
      <c r="G45" s="12">
        <f t="shared" si="0"/>
        <v>0</v>
      </c>
      <c r="H45" s="12">
        <f t="shared" si="1"/>
        <v>-0.5</v>
      </c>
      <c r="I45" s="8" t="s">
        <v>42</v>
      </c>
    </row>
    <row r="46" spans="2:9" x14ac:dyDescent="0.3">
      <c r="B46" s="8" t="s">
        <v>75</v>
      </c>
      <c r="C46" s="8" t="s">
        <v>76</v>
      </c>
      <c r="D46" s="12">
        <v>17020.41</v>
      </c>
      <c r="E46" s="12">
        <v>28204.9</v>
      </c>
      <c r="F46" s="12">
        <v>28215</v>
      </c>
      <c r="G46" s="12">
        <f t="shared" si="0"/>
        <v>-10.099999999998545</v>
      </c>
      <c r="H46" s="12">
        <f t="shared" si="1"/>
        <v>17010.310000000001</v>
      </c>
      <c r="I46" s="8" t="s">
        <v>42</v>
      </c>
    </row>
    <row r="47" spans="2:9" x14ac:dyDescent="0.3">
      <c r="B47" s="8" t="s">
        <v>77</v>
      </c>
      <c r="C47" s="8" t="s">
        <v>78</v>
      </c>
      <c r="D47" s="12">
        <v>0</v>
      </c>
      <c r="E47" s="12">
        <v>12788</v>
      </c>
      <c r="F47" s="12">
        <v>5336</v>
      </c>
      <c r="G47" s="12">
        <f t="shared" si="0"/>
        <v>7452</v>
      </c>
      <c r="H47" s="12">
        <f t="shared" si="1"/>
        <v>7452</v>
      </c>
      <c r="I47" s="8" t="s">
        <v>42</v>
      </c>
    </row>
    <row r="48" spans="2:9" x14ac:dyDescent="0.3">
      <c r="B48" s="8" t="s">
        <v>79</v>
      </c>
      <c r="C48" s="8" t="s">
        <v>80</v>
      </c>
      <c r="D48" s="12">
        <v>-64.599999999999994</v>
      </c>
      <c r="E48" s="12">
        <v>0</v>
      </c>
      <c r="F48" s="12">
        <v>0</v>
      </c>
      <c r="G48" s="12">
        <f t="shared" si="0"/>
        <v>0</v>
      </c>
      <c r="H48" s="12">
        <f t="shared" si="1"/>
        <v>-64.599999999999994</v>
      </c>
      <c r="I48" s="8" t="s">
        <v>42</v>
      </c>
    </row>
    <row r="49" spans="2:9" x14ac:dyDescent="0.3">
      <c r="B49" s="8" t="s">
        <v>81</v>
      </c>
      <c r="C49" s="8" t="s">
        <v>82</v>
      </c>
      <c r="D49" s="12">
        <v>7629.5</v>
      </c>
      <c r="E49" s="12">
        <v>3036</v>
      </c>
      <c r="F49" s="12">
        <v>5000</v>
      </c>
      <c r="G49" s="12">
        <f t="shared" si="0"/>
        <v>-1964</v>
      </c>
      <c r="H49" s="12">
        <f t="shared" si="1"/>
        <v>5665.5</v>
      </c>
      <c r="I49" s="8" t="s">
        <v>42</v>
      </c>
    </row>
    <row r="50" spans="2:9" x14ac:dyDescent="0.3">
      <c r="B50" s="8" t="s">
        <v>83</v>
      </c>
      <c r="C50" s="8" t="s">
        <v>84</v>
      </c>
      <c r="D50" s="12">
        <v>118729.78</v>
      </c>
      <c r="E50" s="12">
        <v>13685</v>
      </c>
      <c r="F50" s="12">
        <v>8251.25</v>
      </c>
      <c r="G50" s="12">
        <f t="shared" si="0"/>
        <v>5433.75</v>
      </c>
      <c r="H50" s="12">
        <f t="shared" si="1"/>
        <v>124163.53</v>
      </c>
      <c r="I50" s="8" t="s">
        <v>42</v>
      </c>
    </row>
    <row r="51" spans="2:9" x14ac:dyDescent="0.3">
      <c r="B51" s="8" t="s">
        <v>85</v>
      </c>
      <c r="C51" s="8" t="s">
        <v>86</v>
      </c>
      <c r="D51" s="12">
        <v>22837.51</v>
      </c>
      <c r="E51" s="12">
        <v>129364.42</v>
      </c>
      <c r="F51" s="12">
        <v>113604.52</v>
      </c>
      <c r="G51" s="12">
        <f t="shared" si="0"/>
        <v>15759.899999999994</v>
      </c>
      <c r="H51" s="12">
        <f t="shared" si="1"/>
        <v>38597.409999999989</v>
      </c>
      <c r="I51" s="8" t="s">
        <v>42</v>
      </c>
    </row>
    <row r="52" spans="2:9" x14ac:dyDescent="0.3">
      <c r="B52" s="8" t="s">
        <v>87</v>
      </c>
      <c r="C52" s="8" t="s">
        <v>88</v>
      </c>
      <c r="D52" s="12">
        <v>0.68</v>
      </c>
      <c r="E52" s="12">
        <v>0</v>
      </c>
      <c r="F52" s="12">
        <v>0</v>
      </c>
      <c r="G52" s="12">
        <f t="shared" si="0"/>
        <v>0</v>
      </c>
      <c r="H52" s="12">
        <f t="shared" si="1"/>
        <v>0.68</v>
      </c>
      <c r="I52" s="8" t="s">
        <v>42</v>
      </c>
    </row>
    <row r="53" spans="2:9" x14ac:dyDescent="0.3">
      <c r="B53" s="8" t="s">
        <v>610</v>
      </c>
      <c r="C53" s="8" t="s">
        <v>611</v>
      </c>
      <c r="D53" s="12">
        <v>-1.1000000000000001</v>
      </c>
      <c r="E53" s="12">
        <v>2881.9</v>
      </c>
      <c r="F53" s="12">
        <v>2882</v>
      </c>
      <c r="G53" s="12">
        <f t="shared" si="0"/>
        <v>-9.9999999999909051E-2</v>
      </c>
      <c r="H53" s="12">
        <f t="shared" si="1"/>
        <v>-1.1999999999999091</v>
      </c>
      <c r="I53" s="8" t="s">
        <v>42</v>
      </c>
    </row>
    <row r="54" spans="2:9" x14ac:dyDescent="0.3">
      <c r="B54" s="8" t="s">
        <v>89</v>
      </c>
      <c r="C54" s="8" t="s">
        <v>90</v>
      </c>
      <c r="D54" s="12">
        <v>59670.3</v>
      </c>
      <c r="E54" s="12">
        <v>231106.3</v>
      </c>
      <c r="F54" s="12">
        <v>222047.6</v>
      </c>
      <c r="G54" s="12">
        <f t="shared" si="0"/>
        <v>9058.6999999999825</v>
      </c>
      <c r="H54" s="12">
        <f t="shared" si="1"/>
        <v>68728.999999999985</v>
      </c>
      <c r="I54" s="8" t="s">
        <v>42</v>
      </c>
    </row>
    <row r="55" spans="2:9" x14ac:dyDescent="0.3">
      <c r="B55" s="8" t="s">
        <v>91</v>
      </c>
      <c r="C55" s="8" t="s">
        <v>92</v>
      </c>
      <c r="D55" s="12">
        <v>-2</v>
      </c>
      <c r="E55" s="12">
        <v>0</v>
      </c>
      <c r="F55" s="12">
        <v>0</v>
      </c>
      <c r="G55" s="12">
        <f t="shared" si="0"/>
        <v>0</v>
      </c>
      <c r="H55" s="12">
        <f t="shared" si="1"/>
        <v>-2</v>
      </c>
      <c r="I55" s="8" t="s">
        <v>42</v>
      </c>
    </row>
    <row r="56" spans="2:9" x14ac:dyDescent="0.3">
      <c r="B56" s="8" t="s">
        <v>93</v>
      </c>
      <c r="C56" s="8" t="s">
        <v>94</v>
      </c>
      <c r="D56" s="12">
        <v>14088</v>
      </c>
      <c r="E56" s="12">
        <v>73230.850000000006</v>
      </c>
      <c r="F56" s="12">
        <v>55000</v>
      </c>
      <c r="G56" s="12">
        <f t="shared" si="0"/>
        <v>18230.850000000006</v>
      </c>
      <c r="H56" s="12">
        <f t="shared" si="1"/>
        <v>32318.850000000006</v>
      </c>
      <c r="I56" s="8" t="s">
        <v>42</v>
      </c>
    </row>
    <row r="57" spans="2:9" x14ac:dyDescent="0.3">
      <c r="B57" s="8" t="s">
        <v>97</v>
      </c>
      <c r="C57" s="8" t="s">
        <v>98</v>
      </c>
      <c r="D57" s="12">
        <v>21763.67</v>
      </c>
      <c r="E57" s="12">
        <v>0</v>
      </c>
      <c r="F57" s="12">
        <v>0</v>
      </c>
      <c r="G57" s="12">
        <f t="shared" si="0"/>
        <v>0</v>
      </c>
      <c r="H57" s="12">
        <f t="shared" si="1"/>
        <v>21763.67</v>
      </c>
      <c r="I57" s="8" t="s">
        <v>42</v>
      </c>
    </row>
    <row r="58" spans="2:9" x14ac:dyDescent="0.3">
      <c r="B58" s="8" t="s">
        <v>703</v>
      </c>
      <c r="C58" s="8" t="s">
        <v>704</v>
      </c>
      <c r="D58" s="12">
        <v>0</v>
      </c>
      <c r="E58" s="12">
        <v>0</v>
      </c>
      <c r="F58" s="12">
        <v>2664.55</v>
      </c>
      <c r="G58" s="12">
        <f t="shared" si="0"/>
        <v>-2664.55</v>
      </c>
      <c r="H58" s="12">
        <f t="shared" si="1"/>
        <v>-2664.55</v>
      </c>
      <c r="I58" s="8" t="s">
        <v>42</v>
      </c>
    </row>
    <row r="59" spans="2:9" x14ac:dyDescent="0.3">
      <c r="B59" s="8" t="s">
        <v>649</v>
      </c>
      <c r="C59" s="8" t="s">
        <v>650</v>
      </c>
      <c r="D59" s="12">
        <v>0.6</v>
      </c>
      <c r="E59" s="12">
        <v>2351.75</v>
      </c>
      <c r="F59" s="12">
        <v>2352</v>
      </c>
      <c r="G59" s="12">
        <f t="shared" si="0"/>
        <v>-0.25</v>
      </c>
      <c r="H59" s="12">
        <f t="shared" si="1"/>
        <v>0.35</v>
      </c>
      <c r="I59" s="8" t="s">
        <v>42</v>
      </c>
    </row>
    <row r="60" spans="2:9" x14ac:dyDescent="0.3">
      <c r="B60" s="8" t="s">
        <v>459</v>
      </c>
      <c r="C60" s="8" t="s">
        <v>460</v>
      </c>
      <c r="D60" s="12">
        <v>2.93</v>
      </c>
      <c r="E60" s="12">
        <v>0</v>
      </c>
      <c r="F60" s="12">
        <v>0</v>
      </c>
      <c r="G60" s="12">
        <f t="shared" si="0"/>
        <v>0</v>
      </c>
      <c r="H60" s="12">
        <f t="shared" si="1"/>
        <v>2.93</v>
      </c>
      <c r="I60" s="8" t="s">
        <v>42</v>
      </c>
    </row>
    <row r="61" spans="2:9" x14ac:dyDescent="0.3">
      <c r="B61" s="8" t="s">
        <v>99</v>
      </c>
      <c r="C61" s="8" t="s">
        <v>100</v>
      </c>
      <c r="D61" s="12">
        <v>17355.87</v>
      </c>
      <c r="E61" s="12">
        <v>118966.35</v>
      </c>
      <c r="F61" s="12">
        <v>106438.87</v>
      </c>
      <c r="G61" s="12">
        <f t="shared" si="0"/>
        <v>12527.48000000001</v>
      </c>
      <c r="H61" s="12">
        <f t="shared" si="1"/>
        <v>29883.350000000009</v>
      </c>
      <c r="I61" s="8" t="s">
        <v>42</v>
      </c>
    </row>
    <row r="62" spans="2:9" x14ac:dyDescent="0.3">
      <c r="B62" s="8" t="s">
        <v>461</v>
      </c>
      <c r="C62" s="8" t="s">
        <v>462</v>
      </c>
      <c r="D62" s="12">
        <v>2314.85</v>
      </c>
      <c r="E62" s="12">
        <v>2615.1</v>
      </c>
      <c r="F62" s="12">
        <v>4605</v>
      </c>
      <c r="G62" s="12">
        <f t="shared" si="0"/>
        <v>-1989.9</v>
      </c>
      <c r="H62" s="12">
        <f t="shared" si="1"/>
        <v>324.94999999999982</v>
      </c>
      <c r="I62" s="8" t="s">
        <v>42</v>
      </c>
    </row>
    <row r="63" spans="2:9" x14ac:dyDescent="0.3">
      <c r="B63" s="8" t="s">
        <v>103</v>
      </c>
      <c r="C63" s="8" t="s">
        <v>104</v>
      </c>
      <c r="D63" s="12">
        <v>41765.449999999997</v>
      </c>
      <c r="E63" s="12">
        <v>8643.91</v>
      </c>
      <c r="F63" s="12">
        <v>6170.89</v>
      </c>
      <c r="G63" s="12">
        <f t="shared" si="0"/>
        <v>2473.0199999999995</v>
      </c>
      <c r="H63" s="12">
        <f t="shared" si="1"/>
        <v>44238.469999999994</v>
      </c>
      <c r="I63" s="8" t="s">
        <v>42</v>
      </c>
    </row>
    <row r="64" spans="2:9" x14ac:dyDescent="0.3">
      <c r="B64" s="8" t="s">
        <v>105</v>
      </c>
      <c r="C64" s="8" t="s">
        <v>106</v>
      </c>
      <c r="D64" s="12">
        <v>0.1</v>
      </c>
      <c r="E64" s="12">
        <v>3450</v>
      </c>
      <c r="F64" s="12">
        <v>3450</v>
      </c>
      <c r="G64" s="12">
        <f t="shared" si="0"/>
        <v>0</v>
      </c>
      <c r="H64" s="12">
        <f t="shared" si="1"/>
        <v>0.1</v>
      </c>
      <c r="I64" s="8" t="s">
        <v>42</v>
      </c>
    </row>
    <row r="65" spans="2:9" x14ac:dyDescent="0.3">
      <c r="B65" s="8" t="s">
        <v>463</v>
      </c>
      <c r="C65" s="8" t="s">
        <v>464</v>
      </c>
      <c r="D65" s="12">
        <v>0</v>
      </c>
      <c r="E65" s="12">
        <v>265</v>
      </c>
      <c r="F65" s="12">
        <v>264.5</v>
      </c>
      <c r="G65" s="12">
        <f t="shared" si="0"/>
        <v>0.5</v>
      </c>
      <c r="H65" s="12">
        <f t="shared" si="1"/>
        <v>0.5</v>
      </c>
      <c r="I65" s="8" t="s">
        <v>42</v>
      </c>
    </row>
    <row r="66" spans="2:9" x14ac:dyDescent="0.3">
      <c r="B66" s="8" t="s">
        <v>612</v>
      </c>
      <c r="C66" s="8" t="s">
        <v>613</v>
      </c>
      <c r="D66" s="12">
        <v>1165.3800000000001</v>
      </c>
      <c r="E66" s="12">
        <v>0</v>
      </c>
      <c r="F66" s="12">
        <v>0</v>
      </c>
      <c r="G66" s="12">
        <f t="shared" si="0"/>
        <v>0</v>
      </c>
      <c r="H66" s="12">
        <f t="shared" si="1"/>
        <v>1165.3800000000001</v>
      </c>
      <c r="I66" s="8" t="s">
        <v>42</v>
      </c>
    </row>
    <row r="67" spans="2:9" x14ac:dyDescent="0.3">
      <c r="B67" s="8" t="s">
        <v>107</v>
      </c>
      <c r="C67" s="8" t="s">
        <v>108</v>
      </c>
      <c r="D67" s="12">
        <v>1</v>
      </c>
      <c r="E67" s="12">
        <v>7222</v>
      </c>
      <c r="F67" s="12">
        <v>7223</v>
      </c>
      <c r="G67" s="12">
        <f t="shared" si="0"/>
        <v>-1</v>
      </c>
      <c r="H67" s="12">
        <f t="shared" si="1"/>
        <v>0</v>
      </c>
      <c r="I67" s="8" t="s">
        <v>42</v>
      </c>
    </row>
    <row r="68" spans="2:9" x14ac:dyDescent="0.3">
      <c r="B68" s="8" t="s">
        <v>109</v>
      </c>
      <c r="C68" s="8" t="s">
        <v>110</v>
      </c>
      <c r="D68" s="12">
        <v>-746.9</v>
      </c>
      <c r="E68" s="12">
        <v>0</v>
      </c>
      <c r="F68" s="12">
        <v>0</v>
      </c>
      <c r="G68" s="12">
        <f t="shared" si="0"/>
        <v>0</v>
      </c>
      <c r="H68" s="12">
        <f t="shared" si="1"/>
        <v>-746.9</v>
      </c>
      <c r="I68" s="8" t="s">
        <v>42</v>
      </c>
    </row>
    <row r="69" spans="2:9" x14ac:dyDescent="0.3">
      <c r="B69" s="8" t="s">
        <v>111</v>
      </c>
      <c r="C69" s="8" t="s">
        <v>112</v>
      </c>
      <c r="D69" s="12">
        <v>-565803.21</v>
      </c>
      <c r="E69" s="12">
        <v>65188.480000000003</v>
      </c>
      <c r="F69" s="12">
        <v>26988.89</v>
      </c>
      <c r="G69" s="12">
        <f t="shared" si="0"/>
        <v>38199.590000000004</v>
      </c>
      <c r="H69" s="12">
        <f t="shared" si="1"/>
        <v>-527603.62</v>
      </c>
      <c r="I69" s="8" t="s">
        <v>42</v>
      </c>
    </row>
    <row r="70" spans="2:9" x14ac:dyDescent="0.3">
      <c r="B70" s="8" t="s">
        <v>113</v>
      </c>
      <c r="C70" s="8" t="s">
        <v>114</v>
      </c>
      <c r="D70" s="12">
        <v>15487.7</v>
      </c>
      <c r="E70" s="12">
        <v>44350.9</v>
      </c>
      <c r="F70" s="12">
        <v>41864.6</v>
      </c>
      <c r="G70" s="12">
        <f t="shared" si="0"/>
        <v>2486.3000000000029</v>
      </c>
      <c r="H70" s="12">
        <f t="shared" si="1"/>
        <v>17974.000000000004</v>
      </c>
      <c r="I70" s="8" t="s">
        <v>42</v>
      </c>
    </row>
    <row r="71" spans="2:9" x14ac:dyDescent="0.3">
      <c r="B71" s="8" t="s">
        <v>614</v>
      </c>
      <c r="C71" s="8" t="s">
        <v>615</v>
      </c>
      <c r="D71" s="12">
        <v>4326.3</v>
      </c>
      <c r="E71" s="12">
        <v>207</v>
      </c>
      <c r="F71" s="12">
        <v>655725.4</v>
      </c>
      <c r="G71" s="12">
        <f t="shared" si="0"/>
        <v>-655518.4</v>
      </c>
      <c r="H71" s="12">
        <f t="shared" si="1"/>
        <v>-651192.1</v>
      </c>
      <c r="I71" s="8" t="s">
        <v>42</v>
      </c>
    </row>
    <row r="72" spans="2:9" x14ac:dyDescent="0.3">
      <c r="B72" s="8" t="s">
        <v>616</v>
      </c>
      <c r="C72" s="8" t="s">
        <v>617</v>
      </c>
      <c r="D72" s="12">
        <v>396394.6</v>
      </c>
      <c r="E72" s="12">
        <v>139421.82999999999</v>
      </c>
      <c r="F72" s="12">
        <v>0</v>
      </c>
      <c r="G72" s="12">
        <f t="shared" si="0"/>
        <v>139421.82999999999</v>
      </c>
      <c r="H72" s="12">
        <f t="shared" si="1"/>
        <v>535816.42999999993</v>
      </c>
      <c r="I72" s="8" t="s">
        <v>42</v>
      </c>
    </row>
    <row r="73" spans="2:9" x14ac:dyDescent="0.3">
      <c r="B73" s="8" t="s">
        <v>465</v>
      </c>
      <c r="C73" s="8" t="s">
        <v>466</v>
      </c>
      <c r="D73" s="12">
        <v>2736.5</v>
      </c>
      <c r="E73" s="12">
        <v>13340</v>
      </c>
      <c r="F73" s="12">
        <v>16076</v>
      </c>
      <c r="G73" s="12">
        <f t="shared" ref="G73:G136" si="2">E73-F73</f>
        <v>-2736</v>
      </c>
      <c r="H73" s="12">
        <f t="shared" ref="H73:H136" si="3">D73+G73</f>
        <v>0.5</v>
      </c>
      <c r="I73" s="8" t="s">
        <v>42</v>
      </c>
    </row>
    <row r="74" spans="2:9" x14ac:dyDescent="0.3">
      <c r="B74" s="8" t="s">
        <v>705</v>
      </c>
      <c r="C74" s="8" t="s">
        <v>706</v>
      </c>
      <c r="D74" s="12">
        <v>0</v>
      </c>
      <c r="E74" s="12">
        <v>381.06</v>
      </c>
      <c r="F74" s="12">
        <v>381</v>
      </c>
      <c r="G74" s="12">
        <f t="shared" si="2"/>
        <v>6.0000000000002274E-2</v>
      </c>
      <c r="H74" s="12">
        <f t="shared" si="3"/>
        <v>6.0000000000002274E-2</v>
      </c>
      <c r="I74" s="8" t="s">
        <v>42</v>
      </c>
    </row>
    <row r="75" spans="2:9" x14ac:dyDescent="0.3">
      <c r="B75" s="8" t="s">
        <v>707</v>
      </c>
      <c r="C75" s="8" t="s">
        <v>708</v>
      </c>
      <c r="D75" s="12">
        <v>0</v>
      </c>
      <c r="E75" s="12">
        <v>1688.77</v>
      </c>
      <c r="F75" s="12">
        <v>1688.75</v>
      </c>
      <c r="G75" s="12">
        <f t="shared" si="2"/>
        <v>1.999999999998181E-2</v>
      </c>
      <c r="H75" s="12">
        <f t="shared" si="3"/>
        <v>1.999999999998181E-2</v>
      </c>
      <c r="I75" s="8" t="s">
        <v>42</v>
      </c>
    </row>
    <row r="76" spans="2:9" x14ac:dyDescent="0.3">
      <c r="B76" s="8" t="s">
        <v>651</v>
      </c>
      <c r="C76" s="8" t="s">
        <v>652</v>
      </c>
      <c r="D76" s="12">
        <v>5345.2</v>
      </c>
      <c r="E76" s="12">
        <v>0</v>
      </c>
      <c r="F76" s="12">
        <v>5345</v>
      </c>
      <c r="G76" s="12">
        <f t="shared" si="2"/>
        <v>-5345</v>
      </c>
      <c r="H76" s="12">
        <f t="shared" si="3"/>
        <v>0.1999999999998181</v>
      </c>
      <c r="I76" s="8" t="s">
        <v>42</v>
      </c>
    </row>
    <row r="77" spans="2:9" x14ac:dyDescent="0.3">
      <c r="B77" s="8" t="s">
        <v>655</v>
      </c>
      <c r="C77" s="8" t="s">
        <v>656</v>
      </c>
      <c r="D77" s="12">
        <v>0.6</v>
      </c>
      <c r="E77" s="12">
        <v>0</v>
      </c>
      <c r="F77" s="12">
        <v>0</v>
      </c>
      <c r="G77" s="12">
        <f t="shared" si="2"/>
        <v>0</v>
      </c>
      <c r="H77" s="12">
        <f t="shared" si="3"/>
        <v>0.6</v>
      </c>
      <c r="I77" s="8" t="s">
        <v>42</v>
      </c>
    </row>
    <row r="78" spans="2:9" x14ac:dyDescent="0.3">
      <c r="B78" s="8" t="s">
        <v>657</v>
      </c>
      <c r="C78" s="8" t="s">
        <v>658</v>
      </c>
      <c r="D78" s="12">
        <v>0</v>
      </c>
      <c r="E78" s="12">
        <v>2664.55</v>
      </c>
      <c r="F78" s="12">
        <v>0</v>
      </c>
      <c r="G78" s="12">
        <f t="shared" si="2"/>
        <v>2664.55</v>
      </c>
      <c r="H78" s="12">
        <f t="shared" si="3"/>
        <v>2664.55</v>
      </c>
      <c r="I78" s="8" t="s">
        <v>42</v>
      </c>
    </row>
    <row r="79" spans="2:9" x14ac:dyDescent="0.3">
      <c r="B79" s="15" t="s">
        <v>115</v>
      </c>
      <c r="C79" s="15" t="s">
        <v>116</v>
      </c>
      <c r="D79" s="16"/>
      <c r="E79" s="16"/>
      <c r="F79" s="16"/>
      <c r="G79" s="16"/>
      <c r="H79" s="16"/>
      <c r="I79" s="15"/>
    </row>
    <row r="80" spans="2:9" x14ac:dyDescent="0.3">
      <c r="B80" s="8" t="s">
        <v>117</v>
      </c>
      <c r="C80" s="8" t="s">
        <v>118</v>
      </c>
      <c r="D80" s="12">
        <v>0</v>
      </c>
      <c r="E80" s="12">
        <v>242501.2</v>
      </c>
      <c r="F80" s="12">
        <v>88681.83</v>
      </c>
      <c r="G80" s="12">
        <f t="shared" si="2"/>
        <v>153819.37</v>
      </c>
      <c r="H80" s="12">
        <f t="shared" si="3"/>
        <v>153819.37</v>
      </c>
      <c r="I80" s="8" t="s">
        <v>119</v>
      </c>
    </row>
    <row r="81" spans="2:9" x14ac:dyDescent="0.3">
      <c r="B81" s="8" t="s">
        <v>120</v>
      </c>
      <c r="C81" s="8" t="s">
        <v>121</v>
      </c>
      <c r="D81" s="12">
        <v>0.02</v>
      </c>
      <c r="E81" s="12">
        <v>0</v>
      </c>
      <c r="F81" s="12">
        <v>203626.29</v>
      </c>
      <c r="G81" s="12">
        <f t="shared" si="2"/>
        <v>-203626.29</v>
      </c>
      <c r="H81" s="12">
        <f t="shared" si="3"/>
        <v>-203626.27000000002</v>
      </c>
      <c r="I81" s="8" t="s">
        <v>119</v>
      </c>
    </row>
    <row r="82" spans="2:9" x14ac:dyDescent="0.3">
      <c r="B82" s="8" t="s">
        <v>122</v>
      </c>
      <c r="C82" s="8" t="s">
        <v>123</v>
      </c>
      <c r="D82" s="12">
        <v>2151.04</v>
      </c>
      <c r="E82" s="12">
        <v>0</v>
      </c>
      <c r="F82" s="12">
        <v>0</v>
      </c>
      <c r="G82" s="12">
        <f t="shared" si="2"/>
        <v>0</v>
      </c>
      <c r="H82" s="12">
        <f t="shared" si="3"/>
        <v>2151.04</v>
      </c>
      <c r="I82" s="8" t="s">
        <v>119</v>
      </c>
    </row>
    <row r="83" spans="2:9" x14ac:dyDescent="0.3">
      <c r="B83" s="8" t="s">
        <v>709</v>
      </c>
      <c r="C83" s="8" t="s">
        <v>710</v>
      </c>
      <c r="D83" s="12">
        <v>0</v>
      </c>
      <c r="E83" s="12">
        <v>88917</v>
      </c>
      <c r="F83" s="12">
        <v>0</v>
      </c>
      <c r="G83" s="12">
        <f t="shared" si="2"/>
        <v>88917</v>
      </c>
      <c r="H83" s="12">
        <f t="shared" si="3"/>
        <v>88917</v>
      </c>
      <c r="I83" s="8" t="s">
        <v>119</v>
      </c>
    </row>
    <row r="84" spans="2:9" x14ac:dyDescent="0.3">
      <c r="B84" s="8" t="s">
        <v>124</v>
      </c>
      <c r="C84" s="8" t="s">
        <v>125</v>
      </c>
      <c r="D84" s="12">
        <v>395.41</v>
      </c>
      <c r="E84" s="12">
        <v>0</v>
      </c>
      <c r="F84" s="12">
        <v>0</v>
      </c>
      <c r="G84" s="12">
        <f t="shared" si="2"/>
        <v>0</v>
      </c>
      <c r="H84" s="12">
        <f t="shared" si="3"/>
        <v>395.41</v>
      </c>
      <c r="I84" s="8" t="s">
        <v>119</v>
      </c>
    </row>
    <row r="85" spans="2:9" x14ac:dyDescent="0.3">
      <c r="B85" s="15" t="s">
        <v>126</v>
      </c>
      <c r="C85" s="15" t="s">
        <v>127</v>
      </c>
      <c r="D85" s="16"/>
      <c r="E85" s="16"/>
      <c r="F85" s="16"/>
      <c r="G85" s="16"/>
      <c r="H85" s="16"/>
      <c r="I85" s="15"/>
    </row>
    <row r="86" spans="2:9" x14ac:dyDescent="0.3">
      <c r="B86" s="8" t="s">
        <v>128</v>
      </c>
      <c r="C86" s="8" t="s">
        <v>129</v>
      </c>
      <c r="D86" s="12">
        <v>42959.05</v>
      </c>
      <c r="E86" s="12">
        <v>0</v>
      </c>
      <c r="F86" s="12">
        <v>12546</v>
      </c>
      <c r="G86" s="12">
        <f t="shared" si="2"/>
        <v>-12546</v>
      </c>
      <c r="H86" s="12">
        <f t="shared" si="3"/>
        <v>30413.050000000003</v>
      </c>
      <c r="I86" s="8" t="s">
        <v>130</v>
      </c>
    </row>
    <row r="87" spans="2:9" x14ac:dyDescent="0.3">
      <c r="B87" s="8" t="s">
        <v>131</v>
      </c>
      <c r="C87" s="8" t="s">
        <v>132</v>
      </c>
      <c r="D87" s="12">
        <v>124017.02</v>
      </c>
      <c r="E87" s="12">
        <v>0</v>
      </c>
      <c r="F87" s="12">
        <v>15502.11</v>
      </c>
      <c r="G87" s="12">
        <f t="shared" si="2"/>
        <v>-15502.11</v>
      </c>
      <c r="H87" s="12">
        <f t="shared" si="3"/>
        <v>108514.91</v>
      </c>
      <c r="I87" s="8" t="s">
        <v>130</v>
      </c>
    </row>
    <row r="88" spans="2:9" x14ac:dyDescent="0.3">
      <c r="B88" s="8" t="s">
        <v>467</v>
      </c>
      <c r="C88" s="8" t="s">
        <v>468</v>
      </c>
      <c r="D88" s="12">
        <v>7886.47</v>
      </c>
      <c r="E88" s="12">
        <v>0</v>
      </c>
      <c r="F88" s="12">
        <v>985.8</v>
      </c>
      <c r="G88" s="12">
        <f t="shared" si="2"/>
        <v>-985.8</v>
      </c>
      <c r="H88" s="12">
        <f t="shared" si="3"/>
        <v>6900.67</v>
      </c>
      <c r="I88" s="8" t="s">
        <v>130</v>
      </c>
    </row>
    <row r="89" spans="2:9" x14ac:dyDescent="0.3">
      <c r="B89" s="8" t="s">
        <v>133</v>
      </c>
      <c r="C89" s="8" t="s">
        <v>134</v>
      </c>
      <c r="D89" s="12">
        <v>0</v>
      </c>
      <c r="E89" s="12">
        <v>0</v>
      </c>
      <c r="F89" s="12">
        <v>0</v>
      </c>
      <c r="G89" s="12">
        <f t="shared" si="2"/>
        <v>0</v>
      </c>
      <c r="H89" s="12">
        <f t="shared" si="3"/>
        <v>0</v>
      </c>
      <c r="I89" s="8" t="s">
        <v>130</v>
      </c>
    </row>
    <row r="90" spans="2:9" x14ac:dyDescent="0.3">
      <c r="B90" s="8" t="s">
        <v>135</v>
      </c>
      <c r="C90" s="8" t="s">
        <v>136</v>
      </c>
      <c r="D90" s="12">
        <v>-6573.63</v>
      </c>
      <c r="E90" s="12">
        <v>0</v>
      </c>
      <c r="F90" s="12">
        <v>919</v>
      </c>
      <c r="G90" s="12">
        <f t="shared" si="2"/>
        <v>-919</v>
      </c>
      <c r="H90" s="12">
        <f t="shared" si="3"/>
        <v>-7492.63</v>
      </c>
      <c r="I90" s="8" t="s">
        <v>130</v>
      </c>
    </row>
    <row r="91" spans="2:9" x14ac:dyDescent="0.3">
      <c r="B91" s="15" t="s">
        <v>137</v>
      </c>
      <c r="C91" s="15" t="s">
        <v>138</v>
      </c>
      <c r="D91" s="16"/>
      <c r="E91" s="16"/>
      <c r="F91" s="16"/>
      <c r="G91" s="16"/>
      <c r="H91" s="16"/>
      <c r="I91" s="15"/>
    </row>
    <row r="92" spans="2:9" x14ac:dyDescent="0.3">
      <c r="B92" s="8" t="s">
        <v>471</v>
      </c>
      <c r="C92" s="8" t="s">
        <v>472</v>
      </c>
      <c r="D92" s="12">
        <v>141999.54</v>
      </c>
      <c r="E92" s="12">
        <v>2000</v>
      </c>
      <c r="F92" s="12">
        <v>33243.53</v>
      </c>
      <c r="G92" s="12">
        <f t="shared" si="2"/>
        <v>-31243.53</v>
      </c>
      <c r="H92" s="12">
        <f t="shared" si="3"/>
        <v>110756.01000000001</v>
      </c>
      <c r="I92" s="8" t="s">
        <v>141</v>
      </c>
    </row>
    <row r="93" spans="2:9" x14ac:dyDescent="0.3">
      <c r="B93" s="8" t="s">
        <v>473</v>
      </c>
      <c r="C93" s="8" t="s">
        <v>474</v>
      </c>
      <c r="D93" s="12">
        <v>104098.21</v>
      </c>
      <c r="E93" s="12">
        <v>0</v>
      </c>
      <c r="F93" s="12">
        <v>0</v>
      </c>
      <c r="G93" s="12">
        <f t="shared" si="2"/>
        <v>0</v>
      </c>
      <c r="H93" s="12">
        <f t="shared" si="3"/>
        <v>104098.21</v>
      </c>
      <c r="I93" s="8" t="s">
        <v>141</v>
      </c>
    </row>
    <row r="94" spans="2:9" x14ac:dyDescent="0.3">
      <c r="B94" s="8" t="s">
        <v>661</v>
      </c>
      <c r="C94" s="8" t="s">
        <v>662</v>
      </c>
      <c r="D94" s="12">
        <v>500</v>
      </c>
      <c r="E94" s="12">
        <v>0</v>
      </c>
      <c r="F94" s="12">
        <v>500</v>
      </c>
      <c r="G94" s="12">
        <f t="shared" si="2"/>
        <v>-500</v>
      </c>
      <c r="H94" s="12">
        <f t="shared" si="3"/>
        <v>0</v>
      </c>
      <c r="I94" s="8" t="s">
        <v>141</v>
      </c>
    </row>
    <row r="95" spans="2:9" x14ac:dyDescent="0.3">
      <c r="B95" s="8" t="s">
        <v>142</v>
      </c>
      <c r="C95" s="8" t="s">
        <v>143</v>
      </c>
      <c r="D95" s="12">
        <v>20695</v>
      </c>
      <c r="E95" s="12">
        <v>2000</v>
      </c>
      <c r="F95" s="12">
        <v>30400.53</v>
      </c>
      <c r="G95" s="12">
        <f t="shared" si="2"/>
        <v>-28400.53</v>
      </c>
      <c r="H95" s="12">
        <f t="shared" si="3"/>
        <v>-7705.5299999999988</v>
      </c>
      <c r="I95" s="8" t="s">
        <v>141</v>
      </c>
    </row>
    <row r="96" spans="2:9" x14ac:dyDescent="0.3">
      <c r="B96" s="8" t="s">
        <v>479</v>
      </c>
      <c r="C96" s="8" t="s">
        <v>480</v>
      </c>
      <c r="D96" s="12">
        <v>10300</v>
      </c>
      <c r="E96" s="12">
        <v>0</v>
      </c>
      <c r="F96" s="12">
        <v>900</v>
      </c>
      <c r="G96" s="12">
        <f t="shared" si="2"/>
        <v>-900</v>
      </c>
      <c r="H96" s="12">
        <f t="shared" si="3"/>
        <v>9400</v>
      </c>
      <c r="I96" s="8" t="s">
        <v>141</v>
      </c>
    </row>
    <row r="97" spans="2:9" x14ac:dyDescent="0.3">
      <c r="B97" s="8" t="s">
        <v>618</v>
      </c>
      <c r="C97" s="8" t="s">
        <v>619</v>
      </c>
      <c r="D97" s="12">
        <v>-7874</v>
      </c>
      <c r="E97" s="12">
        <v>0</v>
      </c>
      <c r="F97" s="12">
        <v>0</v>
      </c>
      <c r="G97" s="12">
        <f t="shared" si="2"/>
        <v>0</v>
      </c>
      <c r="H97" s="12">
        <f t="shared" si="3"/>
        <v>-7874</v>
      </c>
      <c r="I97" s="8" t="s">
        <v>141</v>
      </c>
    </row>
    <row r="98" spans="2:9" x14ac:dyDescent="0.3">
      <c r="B98" s="8" t="s">
        <v>481</v>
      </c>
      <c r="C98" s="8" t="s">
        <v>482</v>
      </c>
      <c r="D98" s="12">
        <v>81540.33</v>
      </c>
      <c r="E98" s="12">
        <v>0</v>
      </c>
      <c r="F98" s="12">
        <v>0</v>
      </c>
      <c r="G98" s="12">
        <f t="shared" si="2"/>
        <v>0</v>
      </c>
      <c r="H98" s="12">
        <f t="shared" si="3"/>
        <v>81540.33</v>
      </c>
      <c r="I98" s="8" t="s">
        <v>141</v>
      </c>
    </row>
    <row r="99" spans="2:9" x14ac:dyDescent="0.3">
      <c r="B99" s="8" t="s">
        <v>663</v>
      </c>
      <c r="C99" s="8" t="s">
        <v>664</v>
      </c>
      <c r="D99" s="12">
        <v>4000</v>
      </c>
      <c r="E99" s="12">
        <v>200</v>
      </c>
      <c r="F99" s="12">
        <v>1333</v>
      </c>
      <c r="G99" s="12">
        <f t="shared" si="2"/>
        <v>-1133</v>
      </c>
      <c r="H99" s="12">
        <f t="shared" si="3"/>
        <v>2867</v>
      </c>
      <c r="I99" s="8" t="s">
        <v>141</v>
      </c>
    </row>
    <row r="100" spans="2:9" x14ac:dyDescent="0.3">
      <c r="B100" s="15" t="s">
        <v>154</v>
      </c>
      <c r="C100" s="15" t="s">
        <v>155</v>
      </c>
      <c r="D100" s="16"/>
      <c r="E100" s="16"/>
      <c r="F100" s="16"/>
      <c r="G100" s="16"/>
      <c r="H100" s="16"/>
      <c r="I100" s="15"/>
    </row>
    <row r="101" spans="2:9" x14ac:dyDescent="0.3">
      <c r="B101" s="8" t="s">
        <v>483</v>
      </c>
      <c r="C101" s="8" t="s">
        <v>484</v>
      </c>
      <c r="D101" s="12">
        <v>154069.01</v>
      </c>
      <c r="E101" s="12">
        <v>0</v>
      </c>
      <c r="F101" s="12">
        <v>203808</v>
      </c>
      <c r="G101" s="12">
        <f t="shared" si="2"/>
        <v>-203808</v>
      </c>
      <c r="H101" s="12">
        <f t="shared" si="3"/>
        <v>-49738.989999999991</v>
      </c>
      <c r="I101" s="8" t="s">
        <v>158</v>
      </c>
    </row>
    <row r="102" spans="2:9" x14ac:dyDescent="0.3">
      <c r="B102" s="8" t="s">
        <v>156</v>
      </c>
      <c r="C102" s="8" t="s">
        <v>157</v>
      </c>
      <c r="D102" s="12">
        <v>8408.5</v>
      </c>
      <c r="E102" s="12">
        <v>50000</v>
      </c>
      <c r="F102" s="12">
        <v>39771.599999999999</v>
      </c>
      <c r="G102" s="12">
        <f t="shared" si="2"/>
        <v>10228.400000000001</v>
      </c>
      <c r="H102" s="12">
        <f t="shared" si="3"/>
        <v>18636.900000000001</v>
      </c>
      <c r="I102" s="8" t="s">
        <v>158</v>
      </c>
    </row>
    <row r="103" spans="2:9" x14ac:dyDescent="0.3">
      <c r="B103" s="8" t="s">
        <v>485</v>
      </c>
      <c r="C103" s="8" t="s">
        <v>486</v>
      </c>
      <c r="D103" s="12">
        <v>257525</v>
      </c>
      <c r="E103" s="12">
        <v>0</v>
      </c>
      <c r="F103" s="12">
        <v>257525</v>
      </c>
      <c r="G103" s="12">
        <f t="shared" si="2"/>
        <v>-257525</v>
      </c>
      <c r="H103" s="12">
        <f t="shared" si="3"/>
        <v>0</v>
      </c>
      <c r="I103" s="8" t="s">
        <v>158</v>
      </c>
    </row>
    <row r="104" spans="2:9" x14ac:dyDescent="0.3">
      <c r="B104" s="8" t="s">
        <v>665</v>
      </c>
      <c r="C104" s="8" t="s">
        <v>666</v>
      </c>
      <c r="D104" s="12">
        <v>12420</v>
      </c>
      <c r="E104" s="12">
        <v>8625</v>
      </c>
      <c r="F104" s="12">
        <v>8625</v>
      </c>
      <c r="G104" s="12">
        <f t="shared" si="2"/>
        <v>0</v>
      </c>
      <c r="H104" s="12">
        <f t="shared" si="3"/>
        <v>12420</v>
      </c>
      <c r="I104" s="8" t="s">
        <v>158</v>
      </c>
    </row>
    <row r="105" spans="2:9" x14ac:dyDescent="0.3">
      <c r="B105" s="8" t="s">
        <v>489</v>
      </c>
      <c r="C105" s="8" t="s">
        <v>490</v>
      </c>
      <c r="D105" s="12">
        <v>-19323.2</v>
      </c>
      <c r="E105" s="12">
        <v>0</v>
      </c>
      <c r="F105" s="12">
        <v>0</v>
      </c>
      <c r="G105" s="12">
        <f t="shared" si="2"/>
        <v>0</v>
      </c>
      <c r="H105" s="12">
        <f t="shared" si="3"/>
        <v>-19323.2</v>
      </c>
      <c r="I105" s="8" t="s">
        <v>158</v>
      </c>
    </row>
    <row r="106" spans="2:9" x14ac:dyDescent="0.3">
      <c r="B106" s="8" t="s">
        <v>491</v>
      </c>
      <c r="C106" s="8" t="s">
        <v>492</v>
      </c>
      <c r="D106" s="12">
        <v>650000</v>
      </c>
      <c r="E106" s="12">
        <v>0</v>
      </c>
      <c r="F106" s="12">
        <v>0</v>
      </c>
      <c r="G106" s="12">
        <f t="shared" si="2"/>
        <v>0</v>
      </c>
      <c r="H106" s="12">
        <f t="shared" si="3"/>
        <v>650000</v>
      </c>
      <c r="I106" s="8" t="s">
        <v>158</v>
      </c>
    </row>
    <row r="107" spans="2:9" x14ac:dyDescent="0.3">
      <c r="B107" s="8" t="s">
        <v>711</v>
      </c>
      <c r="C107" s="8" t="s">
        <v>712</v>
      </c>
      <c r="D107" s="12">
        <v>0</v>
      </c>
      <c r="E107" s="12">
        <v>200</v>
      </c>
      <c r="F107" s="12">
        <v>0</v>
      </c>
      <c r="G107" s="12">
        <f t="shared" si="2"/>
        <v>200</v>
      </c>
      <c r="H107" s="12">
        <f t="shared" si="3"/>
        <v>200</v>
      </c>
      <c r="I107" s="8" t="s">
        <v>158</v>
      </c>
    </row>
    <row r="108" spans="2:9" x14ac:dyDescent="0.3">
      <c r="B108" s="15" t="s">
        <v>159</v>
      </c>
      <c r="C108" s="15" t="s">
        <v>160</v>
      </c>
      <c r="D108" s="16"/>
      <c r="E108" s="16"/>
      <c r="F108" s="16"/>
      <c r="G108" s="16"/>
      <c r="H108" s="16"/>
      <c r="I108" s="15"/>
    </row>
    <row r="109" spans="2:9" x14ac:dyDescent="0.3">
      <c r="B109" s="8" t="s">
        <v>161</v>
      </c>
      <c r="C109" s="8" t="s">
        <v>162</v>
      </c>
      <c r="D109" s="12">
        <v>448630.87</v>
      </c>
      <c r="E109" s="12">
        <v>1623818.16</v>
      </c>
      <c r="F109" s="12">
        <v>716174.44</v>
      </c>
      <c r="G109" s="12">
        <f t="shared" si="2"/>
        <v>907643.72</v>
      </c>
      <c r="H109" s="12">
        <f t="shared" si="3"/>
        <v>1356274.5899999999</v>
      </c>
      <c r="I109" s="8" t="s">
        <v>163</v>
      </c>
    </row>
    <row r="110" spans="2:9" x14ac:dyDescent="0.3">
      <c r="B110" s="8" t="s">
        <v>164</v>
      </c>
      <c r="C110" s="8" t="s">
        <v>165</v>
      </c>
      <c r="D110" s="12">
        <v>-391523.94</v>
      </c>
      <c r="E110" s="12">
        <v>666021.13</v>
      </c>
      <c r="F110" s="12">
        <v>637886.39</v>
      </c>
      <c r="G110" s="12">
        <f t="shared" si="2"/>
        <v>28134.739999999991</v>
      </c>
      <c r="H110" s="12">
        <f t="shared" si="3"/>
        <v>-363389.2</v>
      </c>
      <c r="I110" s="8" t="s">
        <v>163</v>
      </c>
    </row>
    <row r="111" spans="2:9" x14ac:dyDescent="0.3">
      <c r="B111" s="8" t="s">
        <v>166</v>
      </c>
      <c r="C111" s="8" t="s">
        <v>167</v>
      </c>
      <c r="D111" s="12">
        <v>0</v>
      </c>
      <c r="E111" s="12">
        <v>666021.13</v>
      </c>
      <c r="F111" s="12">
        <v>666021.13</v>
      </c>
      <c r="G111" s="12">
        <f t="shared" si="2"/>
        <v>0</v>
      </c>
      <c r="H111" s="12">
        <f t="shared" si="3"/>
        <v>0</v>
      </c>
      <c r="I111" s="8" t="s">
        <v>163</v>
      </c>
    </row>
    <row r="112" spans="2:9" x14ac:dyDescent="0.3">
      <c r="B112" s="15" t="s">
        <v>493</v>
      </c>
      <c r="C112" s="15" t="s">
        <v>494</v>
      </c>
      <c r="D112" s="16"/>
      <c r="E112" s="16"/>
      <c r="F112" s="16"/>
      <c r="G112" s="16"/>
      <c r="H112" s="16"/>
      <c r="I112" s="15"/>
    </row>
    <row r="113" spans="2:9" x14ac:dyDescent="0.3">
      <c r="B113" s="8" t="s">
        <v>495</v>
      </c>
      <c r="C113" s="8" t="s">
        <v>496</v>
      </c>
      <c r="D113" s="12">
        <v>768839.22</v>
      </c>
      <c r="E113" s="12">
        <v>408607.45</v>
      </c>
      <c r="F113" s="12">
        <v>139521.79999999999</v>
      </c>
      <c r="G113" s="12">
        <f t="shared" si="2"/>
        <v>269085.65000000002</v>
      </c>
      <c r="H113" s="12">
        <f t="shared" si="3"/>
        <v>1037924.87</v>
      </c>
      <c r="I113" s="8" t="s">
        <v>497</v>
      </c>
    </row>
    <row r="114" spans="2:9" x14ac:dyDescent="0.3">
      <c r="B114" s="8" t="s">
        <v>713</v>
      </c>
      <c r="C114" s="8" t="s">
        <v>714</v>
      </c>
      <c r="D114" s="12">
        <v>0</v>
      </c>
      <c r="E114" s="12">
        <v>51021.8</v>
      </c>
      <c r="F114" s="12">
        <v>0</v>
      </c>
      <c r="G114" s="12">
        <f t="shared" si="2"/>
        <v>51021.8</v>
      </c>
      <c r="H114" s="12">
        <f t="shared" si="3"/>
        <v>51021.8</v>
      </c>
      <c r="I114" s="8" t="s">
        <v>497</v>
      </c>
    </row>
    <row r="115" spans="2:9" x14ac:dyDescent="0.3">
      <c r="B115" s="8" t="s">
        <v>498</v>
      </c>
      <c r="C115" s="8" t="s">
        <v>499</v>
      </c>
      <c r="D115" s="12">
        <v>5109.13</v>
      </c>
      <c r="E115" s="12">
        <v>0</v>
      </c>
      <c r="F115" s="12">
        <v>0</v>
      </c>
      <c r="G115" s="12">
        <f t="shared" si="2"/>
        <v>0</v>
      </c>
      <c r="H115" s="12">
        <f t="shared" si="3"/>
        <v>5109.13</v>
      </c>
      <c r="I115" s="8" t="s">
        <v>497</v>
      </c>
    </row>
    <row r="116" spans="2:9" x14ac:dyDescent="0.3">
      <c r="B116" s="8" t="s">
        <v>715</v>
      </c>
      <c r="C116" s="8" t="s">
        <v>716</v>
      </c>
      <c r="D116" s="12">
        <v>0</v>
      </c>
      <c r="E116" s="12">
        <v>88500</v>
      </c>
      <c r="F116" s="12">
        <v>0</v>
      </c>
      <c r="G116" s="12">
        <f t="shared" si="2"/>
        <v>88500</v>
      </c>
      <c r="H116" s="12">
        <f t="shared" si="3"/>
        <v>88500</v>
      </c>
      <c r="I116" s="8" t="s">
        <v>497</v>
      </c>
    </row>
    <row r="117" spans="2:9" x14ac:dyDescent="0.3">
      <c r="B117" s="8" t="s">
        <v>500</v>
      </c>
      <c r="C117" s="8" t="s">
        <v>501</v>
      </c>
      <c r="D117" s="12">
        <v>34000</v>
      </c>
      <c r="E117" s="12">
        <v>6000</v>
      </c>
      <c r="F117" s="12">
        <v>0</v>
      </c>
      <c r="G117" s="12">
        <f t="shared" si="2"/>
        <v>6000</v>
      </c>
      <c r="H117" s="12">
        <f t="shared" si="3"/>
        <v>40000</v>
      </c>
      <c r="I117" s="8" t="s">
        <v>497</v>
      </c>
    </row>
    <row r="118" spans="2:9" x14ac:dyDescent="0.3">
      <c r="B118" s="15" t="s">
        <v>168</v>
      </c>
      <c r="C118" s="15" t="s">
        <v>169</v>
      </c>
      <c r="D118" s="16"/>
      <c r="E118" s="16"/>
      <c r="F118" s="16"/>
      <c r="G118" s="16"/>
      <c r="H118" s="16"/>
      <c r="I118" s="15"/>
    </row>
    <row r="119" spans="2:9" x14ac:dyDescent="0.3">
      <c r="B119" s="8" t="s">
        <v>170</v>
      </c>
      <c r="C119" s="8" t="s">
        <v>171</v>
      </c>
      <c r="D119" s="12">
        <v>-42751.54</v>
      </c>
      <c r="E119" s="12">
        <v>0</v>
      </c>
      <c r="F119" s="12">
        <v>10754.17</v>
      </c>
      <c r="G119" s="12">
        <f t="shared" si="2"/>
        <v>-10754.17</v>
      </c>
      <c r="H119" s="12">
        <f t="shared" si="3"/>
        <v>-53505.71</v>
      </c>
      <c r="I119" s="8" t="s">
        <v>172</v>
      </c>
    </row>
    <row r="120" spans="2:9" x14ac:dyDescent="0.3">
      <c r="B120" s="8" t="s">
        <v>173</v>
      </c>
      <c r="C120" s="8" t="s">
        <v>174</v>
      </c>
      <c r="D120" s="12">
        <v>-3433.09</v>
      </c>
      <c r="E120" s="12">
        <v>0</v>
      </c>
      <c r="F120" s="12">
        <v>870.23</v>
      </c>
      <c r="G120" s="12">
        <f t="shared" si="2"/>
        <v>-870.23</v>
      </c>
      <c r="H120" s="12">
        <f t="shared" si="3"/>
        <v>-4303.32</v>
      </c>
      <c r="I120" s="8" t="s">
        <v>172</v>
      </c>
    </row>
    <row r="121" spans="2:9" x14ac:dyDescent="0.3">
      <c r="B121" s="8" t="s">
        <v>175</v>
      </c>
      <c r="C121" s="8" t="s">
        <v>176</v>
      </c>
      <c r="D121" s="12">
        <v>-17059.59</v>
      </c>
      <c r="E121" s="12">
        <v>0</v>
      </c>
      <c r="F121" s="12">
        <v>16299.95</v>
      </c>
      <c r="G121" s="12">
        <f t="shared" si="2"/>
        <v>-16299.95</v>
      </c>
      <c r="H121" s="12">
        <f t="shared" si="3"/>
        <v>-33359.54</v>
      </c>
      <c r="I121" s="8" t="s">
        <v>172</v>
      </c>
    </row>
    <row r="122" spans="2:9" x14ac:dyDescent="0.3">
      <c r="B122" s="8" t="s">
        <v>177</v>
      </c>
      <c r="C122" s="8" t="s">
        <v>178</v>
      </c>
      <c r="D122" s="12">
        <v>-327.33999999999997</v>
      </c>
      <c r="E122" s="12">
        <v>0</v>
      </c>
      <c r="F122" s="12">
        <v>81.84</v>
      </c>
      <c r="G122" s="12">
        <f t="shared" si="2"/>
        <v>-81.84</v>
      </c>
      <c r="H122" s="12">
        <f t="shared" si="3"/>
        <v>-409.17999999999995</v>
      </c>
      <c r="I122" s="8" t="s">
        <v>172</v>
      </c>
    </row>
    <row r="123" spans="2:9" x14ac:dyDescent="0.3">
      <c r="B123" s="8" t="s">
        <v>179</v>
      </c>
      <c r="C123" s="8" t="s">
        <v>180</v>
      </c>
      <c r="D123" s="12">
        <v>-19036.43</v>
      </c>
      <c r="E123" s="12">
        <v>0</v>
      </c>
      <c r="F123" s="12">
        <v>9567.1200000000008</v>
      </c>
      <c r="G123" s="12">
        <f t="shared" si="2"/>
        <v>-9567.1200000000008</v>
      </c>
      <c r="H123" s="12">
        <f t="shared" si="3"/>
        <v>-28603.550000000003</v>
      </c>
      <c r="I123" s="8" t="s">
        <v>172</v>
      </c>
    </row>
    <row r="124" spans="2:9" x14ac:dyDescent="0.3">
      <c r="B124" s="8" t="s">
        <v>181</v>
      </c>
      <c r="C124" s="8" t="s">
        <v>182</v>
      </c>
      <c r="D124" s="12">
        <v>-1838.27</v>
      </c>
      <c r="E124" s="12">
        <v>0</v>
      </c>
      <c r="F124" s="12">
        <v>459.56</v>
      </c>
      <c r="G124" s="12">
        <f t="shared" si="2"/>
        <v>-459.56</v>
      </c>
      <c r="H124" s="12">
        <f t="shared" si="3"/>
        <v>-2297.83</v>
      </c>
      <c r="I124" s="8" t="s">
        <v>172</v>
      </c>
    </row>
    <row r="125" spans="2:9" x14ac:dyDescent="0.3">
      <c r="B125" s="8" t="s">
        <v>183</v>
      </c>
      <c r="C125" s="8" t="s">
        <v>184</v>
      </c>
      <c r="D125" s="12">
        <v>-211.15</v>
      </c>
      <c r="E125" s="12">
        <v>0</v>
      </c>
      <c r="F125" s="12">
        <v>52.78</v>
      </c>
      <c r="G125" s="12">
        <f t="shared" si="2"/>
        <v>-52.78</v>
      </c>
      <c r="H125" s="12">
        <f t="shared" si="3"/>
        <v>-263.93</v>
      </c>
      <c r="I125" s="8" t="s">
        <v>172</v>
      </c>
    </row>
    <row r="126" spans="2:9" x14ac:dyDescent="0.3">
      <c r="B126" s="15" t="s">
        <v>185</v>
      </c>
      <c r="C126" s="15" t="s">
        <v>186</v>
      </c>
      <c r="D126" s="16"/>
      <c r="E126" s="16"/>
      <c r="F126" s="16"/>
      <c r="G126" s="16"/>
      <c r="H126" s="16"/>
      <c r="I126" s="15"/>
    </row>
    <row r="127" spans="2:9" x14ac:dyDescent="0.3">
      <c r="B127" s="8" t="s">
        <v>187</v>
      </c>
      <c r="C127" s="8" t="s">
        <v>188</v>
      </c>
      <c r="D127" s="12">
        <v>40710</v>
      </c>
      <c r="E127" s="12">
        <v>0</v>
      </c>
      <c r="F127" s="12">
        <v>39768.15</v>
      </c>
      <c r="G127" s="12">
        <f t="shared" si="2"/>
        <v>-39768.15</v>
      </c>
      <c r="H127" s="12">
        <f t="shared" si="3"/>
        <v>941.84999999999854</v>
      </c>
      <c r="I127" s="8" t="s">
        <v>189</v>
      </c>
    </row>
    <row r="128" spans="2:9" x14ac:dyDescent="0.3">
      <c r="B128" s="8" t="s">
        <v>502</v>
      </c>
      <c r="C128" s="8" t="s">
        <v>503</v>
      </c>
      <c r="D128" s="12">
        <v>-121.88</v>
      </c>
      <c r="E128" s="12">
        <v>0</v>
      </c>
      <c r="F128" s="12">
        <v>0</v>
      </c>
      <c r="G128" s="12">
        <f t="shared" si="2"/>
        <v>0</v>
      </c>
      <c r="H128" s="12">
        <f t="shared" si="3"/>
        <v>-121.88</v>
      </c>
      <c r="I128" s="8" t="s">
        <v>189</v>
      </c>
    </row>
    <row r="129" spans="2:9" x14ac:dyDescent="0.3">
      <c r="B129" s="8" t="s">
        <v>667</v>
      </c>
      <c r="C129" s="8" t="s">
        <v>668</v>
      </c>
      <c r="D129" s="12">
        <v>100000</v>
      </c>
      <c r="E129" s="12">
        <v>0</v>
      </c>
      <c r="F129" s="12">
        <v>0</v>
      </c>
      <c r="G129" s="12">
        <f t="shared" si="2"/>
        <v>0</v>
      </c>
      <c r="H129" s="12">
        <f t="shared" si="3"/>
        <v>100000</v>
      </c>
      <c r="I129" s="8" t="s">
        <v>189</v>
      </c>
    </row>
    <row r="130" spans="2:9" x14ac:dyDescent="0.3">
      <c r="B130" s="8" t="s">
        <v>717</v>
      </c>
      <c r="C130" s="8" t="s">
        <v>718</v>
      </c>
      <c r="D130" s="12">
        <v>0</v>
      </c>
      <c r="E130" s="12">
        <v>264098.88</v>
      </c>
      <c r="F130" s="12">
        <v>0</v>
      </c>
      <c r="G130" s="12">
        <f t="shared" si="2"/>
        <v>264098.88</v>
      </c>
      <c r="H130" s="12">
        <f t="shared" si="3"/>
        <v>264098.88</v>
      </c>
      <c r="I130" s="8" t="s">
        <v>189</v>
      </c>
    </row>
    <row r="131" spans="2:9" x14ac:dyDescent="0.3">
      <c r="B131" s="8" t="s">
        <v>504</v>
      </c>
      <c r="C131" s="8" t="s">
        <v>505</v>
      </c>
      <c r="D131" s="12">
        <v>-415.5</v>
      </c>
      <c r="E131" s="12">
        <v>0</v>
      </c>
      <c r="F131" s="12">
        <v>0</v>
      </c>
      <c r="G131" s="12">
        <f t="shared" si="2"/>
        <v>0</v>
      </c>
      <c r="H131" s="12">
        <f t="shared" si="3"/>
        <v>-415.5</v>
      </c>
      <c r="I131" s="8" t="s">
        <v>189</v>
      </c>
    </row>
    <row r="132" spans="2:9" x14ac:dyDescent="0.3">
      <c r="B132" s="8" t="s">
        <v>506</v>
      </c>
      <c r="C132" s="8" t="s">
        <v>507</v>
      </c>
      <c r="D132" s="12">
        <v>-1131.68</v>
      </c>
      <c r="E132" s="12">
        <v>1397.25</v>
      </c>
      <c r="F132" s="12">
        <v>1397.25</v>
      </c>
      <c r="G132" s="12">
        <f t="shared" si="2"/>
        <v>0</v>
      </c>
      <c r="H132" s="12">
        <f t="shared" si="3"/>
        <v>-1131.68</v>
      </c>
      <c r="I132" s="8" t="s">
        <v>189</v>
      </c>
    </row>
    <row r="133" spans="2:9" x14ac:dyDescent="0.3">
      <c r="B133" s="8" t="s">
        <v>194</v>
      </c>
      <c r="C133" s="8" t="s">
        <v>195</v>
      </c>
      <c r="D133" s="12">
        <v>0</v>
      </c>
      <c r="E133" s="12">
        <v>103399</v>
      </c>
      <c r="F133" s="12">
        <v>103399</v>
      </c>
      <c r="G133" s="12">
        <f t="shared" si="2"/>
        <v>0</v>
      </c>
      <c r="H133" s="12">
        <f t="shared" si="3"/>
        <v>0</v>
      </c>
      <c r="I133" s="8" t="s">
        <v>189</v>
      </c>
    </row>
    <row r="134" spans="2:9" x14ac:dyDescent="0.3">
      <c r="B134" s="8" t="s">
        <v>196</v>
      </c>
      <c r="C134" s="8" t="s">
        <v>197</v>
      </c>
      <c r="D134" s="12">
        <v>-1393740.33</v>
      </c>
      <c r="E134" s="12">
        <v>0</v>
      </c>
      <c r="F134" s="12">
        <v>0</v>
      </c>
      <c r="G134" s="12">
        <f t="shared" si="2"/>
        <v>0</v>
      </c>
      <c r="H134" s="12">
        <f t="shared" si="3"/>
        <v>-1393740.33</v>
      </c>
      <c r="I134" s="8" t="s">
        <v>189</v>
      </c>
    </row>
    <row r="135" spans="2:9" x14ac:dyDescent="0.3">
      <c r="B135" s="8" t="s">
        <v>198</v>
      </c>
      <c r="C135" s="8" t="s">
        <v>199</v>
      </c>
      <c r="D135" s="12">
        <v>0.25</v>
      </c>
      <c r="E135" s="12">
        <v>0</v>
      </c>
      <c r="F135" s="12">
        <v>0</v>
      </c>
      <c r="G135" s="12">
        <f t="shared" si="2"/>
        <v>0</v>
      </c>
      <c r="H135" s="12">
        <f t="shared" si="3"/>
        <v>0.25</v>
      </c>
      <c r="I135" s="8" t="s">
        <v>189</v>
      </c>
    </row>
    <row r="136" spans="2:9" x14ac:dyDescent="0.3">
      <c r="B136" s="8" t="s">
        <v>508</v>
      </c>
      <c r="C136" s="8" t="s">
        <v>509</v>
      </c>
      <c r="D136" s="12">
        <v>0.1</v>
      </c>
      <c r="E136" s="12">
        <v>5589</v>
      </c>
      <c r="F136" s="12">
        <v>5589</v>
      </c>
      <c r="G136" s="12">
        <f t="shared" si="2"/>
        <v>0</v>
      </c>
      <c r="H136" s="12">
        <f t="shared" si="3"/>
        <v>0.1</v>
      </c>
      <c r="I136" s="8" t="s">
        <v>189</v>
      </c>
    </row>
    <row r="137" spans="2:9" x14ac:dyDescent="0.3">
      <c r="B137" s="8" t="s">
        <v>510</v>
      </c>
      <c r="C137" s="8" t="s">
        <v>511</v>
      </c>
      <c r="D137" s="12">
        <v>-1640</v>
      </c>
      <c r="E137" s="12">
        <v>0</v>
      </c>
      <c r="F137" s="12">
        <v>0</v>
      </c>
      <c r="G137" s="12">
        <f t="shared" ref="G137:G200" si="4">E137-F137</f>
        <v>0</v>
      </c>
      <c r="H137" s="12">
        <f t="shared" ref="H137:H200" si="5">D137+G137</f>
        <v>-1640</v>
      </c>
      <c r="I137" s="8" t="s">
        <v>189</v>
      </c>
    </row>
    <row r="138" spans="2:9" x14ac:dyDescent="0.3">
      <c r="B138" s="8" t="s">
        <v>620</v>
      </c>
      <c r="C138" s="8" t="s">
        <v>621</v>
      </c>
      <c r="D138" s="12">
        <v>-0.25</v>
      </c>
      <c r="E138" s="12">
        <v>0</v>
      </c>
      <c r="F138" s="12">
        <v>0</v>
      </c>
      <c r="G138" s="12">
        <f t="shared" si="4"/>
        <v>0</v>
      </c>
      <c r="H138" s="12">
        <f t="shared" si="5"/>
        <v>-0.25</v>
      </c>
      <c r="I138" s="8" t="s">
        <v>189</v>
      </c>
    </row>
    <row r="139" spans="2:9" x14ac:dyDescent="0.3">
      <c r="B139" s="8" t="s">
        <v>514</v>
      </c>
      <c r="C139" s="8" t="s">
        <v>515</v>
      </c>
      <c r="D139" s="12">
        <v>-61677.5</v>
      </c>
      <c r="E139" s="12">
        <v>18179</v>
      </c>
      <c r="F139" s="12">
        <v>0</v>
      </c>
      <c r="G139" s="12">
        <f t="shared" si="4"/>
        <v>18179</v>
      </c>
      <c r="H139" s="12">
        <f t="shared" si="5"/>
        <v>-43498.5</v>
      </c>
      <c r="I139" s="8" t="s">
        <v>189</v>
      </c>
    </row>
    <row r="140" spans="2:9" x14ac:dyDescent="0.3">
      <c r="B140" s="8" t="s">
        <v>516</v>
      </c>
      <c r="C140" s="8" t="s">
        <v>517</v>
      </c>
      <c r="D140" s="12">
        <v>-35775.4</v>
      </c>
      <c r="E140" s="12">
        <v>0</v>
      </c>
      <c r="F140" s="12">
        <v>0</v>
      </c>
      <c r="G140" s="12">
        <f t="shared" si="4"/>
        <v>0</v>
      </c>
      <c r="H140" s="12">
        <f t="shared" si="5"/>
        <v>-35775.4</v>
      </c>
      <c r="I140" s="8" t="s">
        <v>189</v>
      </c>
    </row>
    <row r="141" spans="2:9" x14ac:dyDescent="0.3">
      <c r="B141" s="8" t="s">
        <v>518</v>
      </c>
      <c r="C141" s="8" t="s">
        <v>519</v>
      </c>
      <c r="D141" s="12">
        <v>-566959.12</v>
      </c>
      <c r="E141" s="12">
        <v>335000</v>
      </c>
      <c r="F141" s="12">
        <v>893365.17</v>
      </c>
      <c r="G141" s="12">
        <f t="shared" si="4"/>
        <v>-558365.17000000004</v>
      </c>
      <c r="H141" s="12">
        <f t="shared" si="5"/>
        <v>-1125324.29</v>
      </c>
      <c r="I141" s="8" t="s">
        <v>189</v>
      </c>
    </row>
    <row r="142" spans="2:9" x14ac:dyDescent="0.3">
      <c r="B142" s="8" t="s">
        <v>520</v>
      </c>
      <c r="C142" s="8" t="s">
        <v>521</v>
      </c>
      <c r="D142" s="12">
        <v>-3.46</v>
      </c>
      <c r="E142" s="12">
        <v>0</v>
      </c>
      <c r="F142" s="12">
        <v>23598</v>
      </c>
      <c r="G142" s="12">
        <f t="shared" si="4"/>
        <v>-23598</v>
      </c>
      <c r="H142" s="12">
        <f t="shared" si="5"/>
        <v>-23601.46</v>
      </c>
      <c r="I142" s="8" t="s">
        <v>189</v>
      </c>
    </row>
    <row r="143" spans="2:9" x14ac:dyDescent="0.3">
      <c r="B143" s="8" t="s">
        <v>202</v>
      </c>
      <c r="C143" s="8" t="s">
        <v>203</v>
      </c>
      <c r="D143" s="12">
        <v>-2530.5700000000002</v>
      </c>
      <c r="E143" s="12">
        <v>0</v>
      </c>
      <c r="F143" s="12">
        <v>0</v>
      </c>
      <c r="G143" s="12">
        <f t="shared" si="4"/>
        <v>0</v>
      </c>
      <c r="H143" s="12">
        <f t="shared" si="5"/>
        <v>-2530.5700000000002</v>
      </c>
      <c r="I143" s="8" t="s">
        <v>189</v>
      </c>
    </row>
    <row r="144" spans="2:9" x14ac:dyDescent="0.3">
      <c r="B144" s="8" t="s">
        <v>522</v>
      </c>
      <c r="C144" s="8" t="s">
        <v>523</v>
      </c>
      <c r="D144" s="12">
        <v>-187995.2</v>
      </c>
      <c r="E144" s="12">
        <v>0</v>
      </c>
      <c r="F144" s="12">
        <v>0</v>
      </c>
      <c r="G144" s="12">
        <f t="shared" si="4"/>
        <v>0</v>
      </c>
      <c r="H144" s="12">
        <f t="shared" si="5"/>
        <v>-187995.2</v>
      </c>
      <c r="I144" s="8" t="s">
        <v>189</v>
      </c>
    </row>
    <row r="145" spans="2:9" x14ac:dyDescent="0.3">
      <c r="B145" s="8" t="s">
        <v>524</v>
      </c>
      <c r="C145" s="8" t="s">
        <v>525</v>
      </c>
      <c r="D145" s="12">
        <v>-301.38</v>
      </c>
      <c r="E145" s="12">
        <v>0</v>
      </c>
      <c r="F145" s="12">
        <v>0</v>
      </c>
      <c r="G145" s="12">
        <f t="shared" si="4"/>
        <v>0</v>
      </c>
      <c r="H145" s="12">
        <f t="shared" si="5"/>
        <v>-301.38</v>
      </c>
      <c r="I145" s="8" t="s">
        <v>189</v>
      </c>
    </row>
    <row r="146" spans="2:9" x14ac:dyDescent="0.3">
      <c r="B146" s="8" t="s">
        <v>526</v>
      </c>
      <c r="C146" s="8" t="s">
        <v>527</v>
      </c>
      <c r="D146" s="12">
        <v>-0.3</v>
      </c>
      <c r="E146" s="12">
        <v>0</v>
      </c>
      <c r="F146" s="12">
        <v>0</v>
      </c>
      <c r="G146" s="12">
        <f t="shared" si="4"/>
        <v>0</v>
      </c>
      <c r="H146" s="12">
        <f t="shared" si="5"/>
        <v>-0.3</v>
      </c>
      <c r="I146" s="8" t="s">
        <v>189</v>
      </c>
    </row>
    <row r="147" spans="2:9" x14ac:dyDescent="0.3">
      <c r="B147" s="8" t="s">
        <v>528</v>
      </c>
      <c r="C147" s="8" t="s">
        <v>529</v>
      </c>
      <c r="D147" s="12">
        <v>50285.66</v>
      </c>
      <c r="E147" s="12">
        <v>0</v>
      </c>
      <c r="F147" s="12">
        <v>0</v>
      </c>
      <c r="G147" s="12">
        <f t="shared" si="4"/>
        <v>0</v>
      </c>
      <c r="H147" s="12">
        <f t="shared" si="5"/>
        <v>50285.66</v>
      </c>
      <c r="I147" s="8" t="s">
        <v>189</v>
      </c>
    </row>
    <row r="148" spans="2:9" x14ac:dyDescent="0.3">
      <c r="B148" s="8" t="s">
        <v>204</v>
      </c>
      <c r="C148" s="8" t="s">
        <v>205</v>
      </c>
      <c r="D148" s="12">
        <v>0</v>
      </c>
      <c r="E148" s="12">
        <v>17047.599999999999</v>
      </c>
      <c r="F148" s="12">
        <v>17047.599999999999</v>
      </c>
      <c r="G148" s="12">
        <f t="shared" si="4"/>
        <v>0</v>
      </c>
      <c r="H148" s="12">
        <f t="shared" si="5"/>
        <v>0</v>
      </c>
      <c r="I148" s="8" t="s">
        <v>189</v>
      </c>
    </row>
    <row r="149" spans="2:9" x14ac:dyDescent="0.3">
      <c r="B149" s="8" t="s">
        <v>531</v>
      </c>
      <c r="C149" s="8" t="s">
        <v>532</v>
      </c>
      <c r="D149" s="12">
        <v>-50285.66</v>
      </c>
      <c r="E149" s="12">
        <v>0</v>
      </c>
      <c r="F149" s="12">
        <v>0</v>
      </c>
      <c r="G149" s="12">
        <f t="shared" si="4"/>
        <v>0</v>
      </c>
      <c r="H149" s="12">
        <f t="shared" si="5"/>
        <v>-50285.66</v>
      </c>
      <c r="I149" s="8" t="s">
        <v>189</v>
      </c>
    </row>
    <row r="150" spans="2:9" x14ac:dyDescent="0.3">
      <c r="B150" s="8" t="s">
        <v>533</v>
      </c>
      <c r="C150" s="8" t="s">
        <v>534</v>
      </c>
      <c r="D150" s="12">
        <v>-90</v>
      </c>
      <c r="E150" s="12">
        <v>0</v>
      </c>
      <c r="F150" s="12">
        <v>0</v>
      </c>
      <c r="G150" s="12">
        <f t="shared" si="4"/>
        <v>0</v>
      </c>
      <c r="H150" s="12">
        <f t="shared" si="5"/>
        <v>-90</v>
      </c>
      <c r="I150" s="8" t="s">
        <v>189</v>
      </c>
    </row>
    <row r="151" spans="2:9" x14ac:dyDescent="0.3">
      <c r="B151" s="8" t="s">
        <v>537</v>
      </c>
      <c r="C151" s="8" t="s">
        <v>538</v>
      </c>
      <c r="D151" s="12">
        <v>0</v>
      </c>
      <c r="E151" s="12">
        <v>7601.5</v>
      </c>
      <c r="F151" s="12">
        <v>7601.5</v>
      </c>
      <c r="G151" s="12">
        <f t="shared" si="4"/>
        <v>0</v>
      </c>
      <c r="H151" s="12">
        <f t="shared" si="5"/>
        <v>0</v>
      </c>
      <c r="I151" s="8" t="s">
        <v>189</v>
      </c>
    </row>
    <row r="152" spans="2:9" x14ac:dyDescent="0.3">
      <c r="B152" s="8" t="s">
        <v>206</v>
      </c>
      <c r="C152" s="8" t="s">
        <v>207</v>
      </c>
      <c r="D152" s="12">
        <v>-1.3</v>
      </c>
      <c r="E152" s="12">
        <v>1143</v>
      </c>
      <c r="F152" s="12">
        <v>1143.0999999999999</v>
      </c>
      <c r="G152" s="12">
        <f t="shared" si="4"/>
        <v>-9.9999999999909051E-2</v>
      </c>
      <c r="H152" s="12">
        <f t="shared" si="5"/>
        <v>-1.3999999999999091</v>
      </c>
      <c r="I152" s="8" t="s">
        <v>189</v>
      </c>
    </row>
    <row r="153" spans="2:9" x14ac:dyDescent="0.3">
      <c r="B153" s="8" t="s">
        <v>539</v>
      </c>
      <c r="C153" s="8" t="s">
        <v>540</v>
      </c>
      <c r="D153" s="12">
        <v>-481309.19</v>
      </c>
      <c r="E153" s="12">
        <v>0</v>
      </c>
      <c r="F153" s="12">
        <v>0</v>
      </c>
      <c r="G153" s="12">
        <f t="shared" si="4"/>
        <v>0</v>
      </c>
      <c r="H153" s="12">
        <f t="shared" si="5"/>
        <v>-481309.19</v>
      </c>
      <c r="I153" s="8" t="s">
        <v>189</v>
      </c>
    </row>
    <row r="154" spans="2:9" x14ac:dyDescent="0.3">
      <c r="B154" s="8" t="s">
        <v>208</v>
      </c>
      <c r="C154" s="8" t="s">
        <v>209</v>
      </c>
      <c r="D154" s="12">
        <v>458218.81</v>
      </c>
      <c r="E154" s="12">
        <v>1053493.01</v>
      </c>
      <c r="F154" s="12">
        <v>1042361.62</v>
      </c>
      <c r="G154" s="12">
        <f t="shared" si="4"/>
        <v>11131.390000000014</v>
      </c>
      <c r="H154" s="12">
        <f t="shared" si="5"/>
        <v>469350.2</v>
      </c>
      <c r="I154" s="8" t="s">
        <v>189</v>
      </c>
    </row>
    <row r="155" spans="2:9" x14ac:dyDescent="0.3">
      <c r="B155" s="8" t="s">
        <v>541</v>
      </c>
      <c r="C155" s="8" t="s">
        <v>542</v>
      </c>
      <c r="D155" s="12">
        <v>20945.27</v>
      </c>
      <c r="E155" s="12">
        <v>0</v>
      </c>
      <c r="F155" s="12">
        <v>0</v>
      </c>
      <c r="G155" s="12">
        <f t="shared" si="4"/>
        <v>0</v>
      </c>
      <c r="H155" s="12">
        <f t="shared" si="5"/>
        <v>20945.27</v>
      </c>
      <c r="I155" s="8" t="s">
        <v>189</v>
      </c>
    </row>
    <row r="156" spans="2:9" x14ac:dyDescent="0.3">
      <c r="B156" s="8" t="s">
        <v>675</v>
      </c>
      <c r="C156" s="8" t="s">
        <v>676</v>
      </c>
      <c r="D156" s="12">
        <v>-0.25</v>
      </c>
      <c r="E156" s="12">
        <v>0</v>
      </c>
      <c r="F156" s="12">
        <v>0</v>
      </c>
      <c r="G156" s="12">
        <f t="shared" si="4"/>
        <v>0</v>
      </c>
      <c r="H156" s="12">
        <f t="shared" si="5"/>
        <v>-0.25</v>
      </c>
      <c r="I156" s="8" t="s">
        <v>189</v>
      </c>
    </row>
    <row r="157" spans="2:9" x14ac:dyDescent="0.3">
      <c r="B157" s="8" t="s">
        <v>543</v>
      </c>
      <c r="C157" s="8" t="s">
        <v>544</v>
      </c>
      <c r="D157" s="12">
        <v>-93314.64</v>
      </c>
      <c r="E157" s="12">
        <v>27069.23</v>
      </c>
      <c r="F157" s="12">
        <v>33836.54</v>
      </c>
      <c r="G157" s="12">
        <f t="shared" si="4"/>
        <v>-6767.3100000000013</v>
      </c>
      <c r="H157" s="12">
        <f t="shared" si="5"/>
        <v>-100081.95</v>
      </c>
      <c r="I157" s="8" t="s">
        <v>189</v>
      </c>
    </row>
    <row r="158" spans="2:9" x14ac:dyDescent="0.3">
      <c r="B158" s="8" t="s">
        <v>547</v>
      </c>
      <c r="C158" s="8" t="s">
        <v>548</v>
      </c>
      <c r="D158" s="12">
        <v>-71000</v>
      </c>
      <c r="E158" s="12">
        <v>0</v>
      </c>
      <c r="F158" s="12">
        <v>0</v>
      </c>
      <c r="G158" s="12">
        <f t="shared" si="4"/>
        <v>0</v>
      </c>
      <c r="H158" s="12">
        <f t="shared" si="5"/>
        <v>-71000</v>
      </c>
      <c r="I158" s="8" t="s">
        <v>189</v>
      </c>
    </row>
    <row r="159" spans="2:9" x14ac:dyDescent="0.3">
      <c r="B159" s="8" t="s">
        <v>549</v>
      </c>
      <c r="C159" s="8" t="s">
        <v>550</v>
      </c>
      <c r="D159" s="12">
        <v>-374265.46</v>
      </c>
      <c r="E159" s="12">
        <v>0</v>
      </c>
      <c r="F159" s="12">
        <v>0</v>
      </c>
      <c r="G159" s="12">
        <f t="shared" si="4"/>
        <v>0</v>
      </c>
      <c r="H159" s="12">
        <f t="shared" si="5"/>
        <v>-374265.46</v>
      </c>
      <c r="I159" s="8" t="s">
        <v>189</v>
      </c>
    </row>
    <row r="160" spans="2:9" x14ac:dyDescent="0.3">
      <c r="B160" s="8" t="s">
        <v>719</v>
      </c>
      <c r="C160" s="8" t="s">
        <v>720</v>
      </c>
      <c r="D160" s="12">
        <v>0</v>
      </c>
      <c r="E160" s="12">
        <v>7887</v>
      </c>
      <c r="F160" s="12">
        <v>7886.7</v>
      </c>
      <c r="G160" s="12">
        <f t="shared" si="4"/>
        <v>0.3000000000001819</v>
      </c>
      <c r="H160" s="12">
        <f t="shared" si="5"/>
        <v>0.3000000000001819</v>
      </c>
      <c r="I160" s="8" t="s">
        <v>189</v>
      </c>
    </row>
    <row r="161" spans="2:9" x14ac:dyDescent="0.3">
      <c r="B161" s="8" t="s">
        <v>210</v>
      </c>
      <c r="C161" s="8" t="s">
        <v>211</v>
      </c>
      <c r="D161" s="12">
        <v>0.35</v>
      </c>
      <c r="E161" s="12">
        <v>2070</v>
      </c>
      <c r="F161" s="12">
        <v>2070</v>
      </c>
      <c r="G161" s="12">
        <f t="shared" si="4"/>
        <v>0</v>
      </c>
      <c r="H161" s="12">
        <f t="shared" si="5"/>
        <v>0.35</v>
      </c>
      <c r="I161" s="8" t="s">
        <v>189</v>
      </c>
    </row>
    <row r="162" spans="2:9" x14ac:dyDescent="0.3">
      <c r="B162" s="8" t="s">
        <v>626</v>
      </c>
      <c r="C162" s="8" t="s">
        <v>627</v>
      </c>
      <c r="D162" s="12">
        <v>-294973.39</v>
      </c>
      <c r="E162" s="12">
        <v>0</v>
      </c>
      <c r="F162" s="12">
        <v>0</v>
      </c>
      <c r="G162" s="12">
        <f t="shared" si="4"/>
        <v>0</v>
      </c>
      <c r="H162" s="12">
        <f t="shared" si="5"/>
        <v>-294973.39</v>
      </c>
      <c r="I162" s="8" t="s">
        <v>189</v>
      </c>
    </row>
    <row r="163" spans="2:9" x14ac:dyDescent="0.3">
      <c r="B163" s="8" t="s">
        <v>212</v>
      </c>
      <c r="C163" s="8" t="s">
        <v>213</v>
      </c>
      <c r="D163" s="12">
        <v>-48686.400000000001</v>
      </c>
      <c r="E163" s="12">
        <v>0</v>
      </c>
      <c r="F163" s="12">
        <v>0</v>
      </c>
      <c r="G163" s="12">
        <f t="shared" si="4"/>
        <v>0</v>
      </c>
      <c r="H163" s="12">
        <f t="shared" si="5"/>
        <v>-48686.400000000001</v>
      </c>
      <c r="I163" s="8" t="s">
        <v>189</v>
      </c>
    </row>
    <row r="164" spans="2:9" x14ac:dyDescent="0.3">
      <c r="B164" s="8" t="s">
        <v>721</v>
      </c>
      <c r="C164" s="8" t="s">
        <v>722</v>
      </c>
      <c r="D164" s="12">
        <v>0</v>
      </c>
      <c r="E164" s="12">
        <v>100000</v>
      </c>
      <c r="F164" s="12">
        <v>100000</v>
      </c>
      <c r="G164" s="12">
        <f t="shared" si="4"/>
        <v>0</v>
      </c>
      <c r="H164" s="12">
        <f t="shared" si="5"/>
        <v>0</v>
      </c>
      <c r="I164" s="8" t="s">
        <v>189</v>
      </c>
    </row>
    <row r="165" spans="2:9" x14ac:dyDescent="0.3">
      <c r="B165" s="8" t="s">
        <v>214</v>
      </c>
      <c r="C165" s="8" t="s">
        <v>215</v>
      </c>
      <c r="D165" s="12">
        <v>-578503.53</v>
      </c>
      <c r="E165" s="12">
        <v>0</v>
      </c>
      <c r="F165" s="12">
        <v>0</v>
      </c>
      <c r="G165" s="12">
        <f t="shared" si="4"/>
        <v>0</v>
      </c>
      <c r="H165" s="12">
        <f t="shared" si="5"/>
        <v>-578503.53</v>
      </c>
      <c r="I165" s="8" t="s">
        <v>189</v>
      </c>
    </row>
    <row r="166" spans="2:9" x14ac:dyDescent="0.3">
      <c r="B166" s="15" t="s">
        <v>216</v>
      </c>
      <c r="C166" s="15" t="s">
        <v>217</v>
      </c>
      <c r="D166" s="16"/>
      <c r="E166" s="16"/>
      <c r="F166" s="16"/>
      <c r="G166" s="16"/>
      <c r="H166" s="16"/>
      <c r="I166" s="15"/>
    </row>
    <row r="167" spans="2:9" x14ac:dyDescent="0.3">
      <c r="B167" s="8" t="s">
        <v>218</v>
      </c>
      <c r="C167" s="8" t="s">
        <v>219</v>
      </c>
      <c r="D167" s="12">
        <v>-69170.880000000005</v>
      </c>
      <c r="E167" s="12">
        <v>6702.89</v>
      </c>
      <c r="F167" s="12">
        <v>79813.759999999995</v>
      </c>
      <c r="G167" s="12">
        <f t="shared" si="4"/>
        <v>-73110.87</v>
      </c>
      <c r="H167" s="12">
        <f t="shared" si="5"/>
        <v>-142281.75</v>
      </c>
      <c r="I167" s="8" t="s">
        <v>220</v>
      </c>
    </row>
    <row r="168" spans="2:9" x14ac:dyDescent="0.3">
      <c r="B168" s="8" t="s">
        <v>551</v>
      </c>
      <c r="C168" s="8" t="s">
        <v>552</v>
      </c>
      <c r="D168" s="12">
        <v>-4456.25</v>
      </c>
      <c r="E168" s="12">
        <v>0</v>
      </c>
      <c r="F168" s="12">
        <v>2489.75</v>
      </c>
      <c r="G168" s="12">
        <f t="shared" si="4"/>
        <v>-2489.75</v>
      </c>
      <c r="H168" s="12">
        <f t="shared" si="5"/>
        <v>-6946</v>
      </c>
      <c r="I168" s="8" t="s">
        <v>220</v>
      </c>
    </row>
    <row r="169" spans="2:9" x14ac:dyDescent="0.3">
      <c r="B169" s="8" t="s">
        <v>553</v>
      </c>
      <c r="C169" s="8" t="s">
        <v>554</v>
      </c>
      <c r="D169" s="12">
        <v>-24857.94</v>
      </c>
      <c r="E169" s="12">
        <v>0</v>
      </c>
      <c r="F169" s="12">
        <v>0</v>
      </c>
      <c r="G169" s="12">
        <f t="shared" si="4"/>
        <v>0</v>
      </c>
      <c r="H169" s="12">
        <f t="shared" si="5"/>
        <v>-24857.94</v>
      </c>
      <c r="I169" s="8" t="s">
        <v>220</v>
      </c>
    </row>
    <row r="170" spans="2:9" x14ac:dyDescent="0.3">
      <c r="B170" s="15" t="s">
        <v>221</v>
      </c>
      <c r="C170" s="15" t="s">
        <v>222</v>
      </c>
      <c r="D170" s="16"/>
      <c r="E170" s="16"/>
      <c r="F170" s="16"/>
      <c r="G170" s="16"/>
      <c r="H170" s="16"/>
      <c r="I170" s="15"/>
    </row>
    <row r="171" spans="2:9" x14ac:dyDescent="0.3">
      <c r="B171" s="8" t="s">
        <v>555</v>
      </c>
      <c r="C171" s="8" t="s">
        <v>556</v>
      </c>
      <c r="D171" s="12">
        <v>500000</v>
      </c>
      <c r="E171" s="12">
        <v>0</v>
      </c>
      <c r="F171" s="12">
        <v>0</v>
      </c>
      <c r="G171" s="12">
        <f t="shared" si="4"/>
        <v>0</v>
      </c>
      <c r="H171" s="12">
        <f t="shared" si="5"/>
        <v>500000</v>
      </c>
      <c r="I171" s="8" t="s">
        <v>225</v>
      </c>
    </row>
    <row r="172" spans="2:9" x14ac:dyDescent="0.3">
      <c r="B172" s="8" t="s">
        <v>630</v>
      </c>
      <c r="C172" s="8" t="s">
        <v>631</v>
      </c>
      <c r="D172" s="12">
        <v>23339.47</v>
      </c>
      <c r="E172" s="12">
        <v>0</v>
      </c>
      <c r="F172" s="12">
        <v>0</v>
      </c>
      <c r="G172" s="12">
        <f t="shared" si="4"/>
        <v>0</v>
      </c>
      <c r="H172" s="12">
        <f t="shared" si="5"/>
        <v>23339.47</v>
      </c>
      <c r="I172" s="8" t="s">
        <v>225</v>
      </c>
    </row>
    <row r="173" spans="2:9" x14ac:dyDescent="0.3">
      <c r="B173" s="15" t="s">
        <v>226</v>
      </c>
      <c r="C173" s="15" t="s">
        <v>227</v>
      </c>
      <c r="D173" s="16"/>
      <c r="E173" s="16"/>
      <c r="F173" s="16"/>
      <c r="G173" s="16"/>
      <c r="H173" s="16"/>
      <c r="I173" s="15"/>
    </row>
    <row r="174" spans="2:9" x14ac:dyDescent="0.3">
      <c r="B174" s="8" t="s">
        <v>228</v>
      </c>
      <c r="C174" s="8" t="s">
        <v>229</v>
      </c>
      <c r="D174" s="12">
        <v>-183603.83</v>
      </c>
      <c r="E174" s="12">
        <v>0</v>
      </c>
      <c r="F174" s="12">
        <v>26944.51</v>
      </c>
      <c r="G174" s="12">
        <f t="shared" si="4"/>
        <v>-26944.51</v>
      </c>
      <c r="H174" s="12">
        <f t="shared" si="5"/>
        <v>-210548.34</v>
      </c>
      <c r="I174" s="8" t="s">
        <v>230</v>
      </c>
    </row>
    <row r="175" spans="2:9" x14ac:dyDescent="0.3">
      <c r="B175" s="8" t="s">
        <v>231</v>
      </c>
      <c r="C175" s="8" t="s">
        <v>232</v>
      </c>
      <c r="D175" s="12">
        <v>614817.93999999994</v>
      </c>
      <c r="E175" s="12">
        <v>11496.72</v>
      </c>
      <c r="F175" s="12">
        <v>6703.26</v>
      </c>
      <c r="G175" s="12">
        <f t="shared" si="4"/>
        <v>4793.4599999999991</v>
      </c>
      <c r="H175" s="12">
        <f t="shared" si="5"/>
        <v>619611.39999999991</v>
      </c>
      <c r="I175" s="8" t="s">
        <v>230</v>
      </c>
    </row>
    <row r="176" spans="2:9" x14ac:dyDescent="0.3">
      <c r="B176" s="8" t="s">
        <v>632</v>
      </c>
      <c r="C176" s="8" t="s">
        <v>633</v>
      </c>
      <c r="D176" s="12">
        <v>250000</v>
      </c>
      <c r="E176" s="12">
        <v>0</v>
      </c>
      <c r="F176" s="12">
        <v>0</v>
      </c>
      <c r="G176" s="12">
        <f t="shared" si="4"/>
        <v>0</v>
      </c>
      <c r="H176" s="12">
        <f t="shared" si="5"/>
        <v>250000</v>
      </c>
      <c r="I176" s="8" t="s">
        <v>230</v>
      </c>
    </row>
    <row r="177" spans="2:9" x14ac:dyDescent="0.3">
      <c r="B177" s="8" t="s">
        <v>557</v>
      </c>
      <c r="C177" s="8" t="s">
        <v>558</v>
      </c>
      <c r="D177" s="12">
        <v>-240545.99</v>
      </c>
      <c r="E177" s="12">
        <v>0</v>
      </c>
      <c r="F177" s="12">
        <v>53223.53</v>
      </c>
      <c r="G177" s="12">
        <f t="shared" si="4"/>
        <v>-53223.53</v>
      </c>
      <c r="H177" s="12">
        <f t="shared" si="5"/>
        <v>-293769.52</v>
      </c>
      <c r="I177" s="8" t="s">
        <v>230</v>
      </c>
    </row>
    <row r="178" spans="2:9" x14ac:dyDescent="0.3">
      <c r="B178" s="8" t="s">
        <v>233</v>
      </c>
      <c r="C178" s="8" t="s">
        <v>234</v>
      </c>
      <c r="D178" s="12">
        <v>31079.11</v>
      </c>
      <c r="E178" s="12">
        <v>14944.75</v>
      </c>
      <c r="F178" s="12">
        <v>0</v>
      </c>
      <c r="G178" s="12">
        <f t="shared" si="4"/>
        <v>14944.75</v>
      </c>
      <c r="H178" s="12">
        <f t="shared" si="5"/>
        <v>46023.86</v>
      </c>
      <c r="I178" s="8" t="s">
        <v>230</v>
      </c>
    </row>
    <row r="179" spans="2:9" x14ac:dyDescent="0.3">
      <c r="B179" s="8" t="s">
        <v>679</v>
      </c>
      <c r="C179" s="8" t="s">
        <v>680</v>
      </c>
      <c r="D179" s="12">
        <v>-200000</v>
      </c>
      <c r="E179" s="12">
        <v>0</v>
      </c>
      <c r="F179" s="12">
        <v>100000</v>
      </c>
      <c r="G179" s="12">
        <f t="shared" si="4"/>
        <v>-100000</v>
      </c>
      <c r="H179" s="12">
        <f t="shared" si="5"/>
        <v>-300000</v>
      </c>
      <c r="I179" s="8" t="s">
        <v>230</v>
      </c>
    </row>
    <row r="180" spans="2:9" x14ac:dyDescent="0.3">
      <c r="B180" s="8" t="s">
        <v>235</v>
      </c>
      <c r="C180" s="8" t="s">
        <v>236</v>
      </c>
      <c r="D180" s="12">
        <v>1323263.75</v>
      </c>
      <c r="E180" s="12">
        <v>648903.04</v>
      </c>
      <c r="F180" s="12">
        <v>636852.74</v>
      </c>
      <c r="G180" s="12">
        <f t="shared" si="4"/>
        <v>12050.300000000047</v>
      </c>
      <c r="H180" s="12">
        <f t="shared" si="5"/>
        <v>1335314.05</v>
      </c>
      <c r="I180" s="8" t="s">
        <v>230</v>
      </c>
    </row>
    <row r="181" spans="2:9" x14ac:dyDescent="0.3">
      <c r="B181" s="8" t="s">
        <v>237</v>
      </c>
      <c r="C181" s="8" t="s">
        <v>238</v>
      </c>
      <c r="D181" s="12">
        <v>-478206.85</v>
      </c>
      <c r="E181" s="12">
        <v>72902.25</v>
      </c>
      <c r="F181" s="12">
        <v>19290.68</v>
      </c>
      <c r="G181" s="12">
        <f t="shared" si="4"/>
        <v>53611.57</v>
      </c>
      <c r="H181" s="12">
        <f t="shared" si="5"/>
        <v>-424595.27999999997</v>
      </c>
      <c r="I181" s="8" t="s">
        <v>230</v>
      </c>
    </row>
    <row r="182" spans="2:9" x14ac:dyDescent="0.3">
      <c r="B182" s="15" t="s">
        <v>723</v>
      </c>
      <c r="C182" s="15" t="s">
        <v>724</v>
      </c>
      <c r="D182" s="16"/>
      <c r="E182" s="16"/>
      <c r="F182" s="16"/>
      <c r="G182" s="16"/>
      <c r="H182" s="16"/>
      <c r="I182" s="15"/>
    </row>
    <row r="183" spans="2:9" x14ac:dyDescent="0.3">
      <c r="B183" s="8" t="s">
        <v>725</v>
      </c>
      <c r="C183" s="8" t="s">
        <v>726</v>
      </c>
      <c r="D183" s="12">
        <v>0</v>
      </c>
      <c r="E183" s="12">
        <v>91201.59</v>
      </c>
      <c r="F183" s="12">
        <v>0</v>
      </c>
      <c r="G183" s="12">
        <f t="shared" si="4"/>
        <v>91201.59</v>
      </c>
      <c r="H183" s="12">
        <f t="shared" si="5"/>
        <v>91201.59</v>
      </c>
      <c r="I183" s="8" t="s">
        <v>727</v>
      </c>
    </row>
    <row r="184" spans="2:9" x14ac:dyDescent="0.3">
      <c r="B184" s="15" t="s">
        <v>559</v>
      </c>
      <c r="C184" s="15" t="s">
        <v>560</v>
      </c>
      <c r="D184" s="16"/>
      <c r="E184" s="16"/>
      <c r="F184" s="16"/>
      <c r="G184" s="16"/>
      <c r="H184" s="16"/>
      <c r="I184" s="15"/>
    </row>
    <row r="185" spans="2:9" x14ac:dyDescent="0.3">
      <c r="B185" s="8" t="s">
        <v>561</v>
      </c>
      <c r="C185" s="8" t="s">
        <v>562</v>
      </c>
      <c r="D185" s="12">
        <v>-66200</v>
      </c>
      <c r="E185" s="12">
        <v>0</v>
      </c>
      <c r="F185" s="12">
        <v>0</v>
      </c>
      <c r="G185" s="12">
        <f t="shared" si="4"/>
        <v>0</v>
      </c>
      <c r="H185" s="12">
        <f t="shared" si="5"/>
        <v>-66200</v>
      </c>
      <c r="I185" s="8" t="s">
        <v>563</v>
      </c>
    </row>
    <row r="186" spans="2:9" x14ac:dyDescent="0.3">
      <c r="B186" s="15" t="s">
        <v>239</v>
      </c>
      <c r="C186" s="15" t="s">
        <v>240</v>
      </c>
      <c r="D186" s="16"/>
      <c r="E186" s="16"/>
      <c r="F186" s="16"/>
      <c r="G186" s="16"/>
      <c r="H186" s="16"/>
      <c r="I186" s="15"/>
    </row>
    <row r="187" spans="2:9" x14ac:dyDescent="0.3">
      <c r="B187" s="8" t="s">
        <v>564</v>
      </c>
      <c r="C187" s="8" t="s">
        <v>565</v>
      </c>
      <c r="D187" s="12">
        <v>-77861.320000000007</v>
      </c>
      <c r="E187" s="12">
        <v>4800</v>
      </c>
      <c r="F187" s="12">
        <v>4742</v>
      </c>
      <c r="G187" s="12">
        <f t="shared" si="4"/>
        <v>58</v>
      </c>
      <c r="H187" s="12">
        <f t="shared" si="5"/>
        <v>-77803.320000000007</v>
      </c>
      <c r="I187" s="8" t="s">
        <v>243</v>
      </c>
    </row>
    <row r="188" spans="2:9" x14ac:dyDescent="0.3">
      <c r="B188" s="8" t="s">
        <v>241</v>
      </c>
      <c r="C188" s="8" t="s">
        <v>242</v>
      </c>
      <c r="D188" s="12">
        <v>-68410.42</v>
      </c>
      <c r="E188" s="12">
        <v>4158</v>
      </c>
      <c r="F188" s="12">
        <v>7546</v>
      </c>
      <c r="G188" s="12">
        <f t="shared" si="4"/>
        <v>-3388</v>
      </c>
      <c r="H188" s="12">
        <f t="shared" si="5"/>
        <v>-71798.42</v>
      </c>
      <c r="I188" s="8" t="s">
        <v>243</v>
      </c>
    </row>
    <row r="189" spans="2:9" x14ac:dyDescent="0.3">
      <c r="B189" s="15" t="s">
        <v>728</v>
      </c>
      <c r="C189" s="15" t="s">
        <v>729</v>
      </c>
      <c r="D189" s="16"/>
      <c r="E189" s="16"/>
      <c r="F189" s="16"/>
      <c r="G189" s="16"/>
      <c r="H189" s="16"/>
      <c r="I189" s="15"/>
    </row>
    <row r="190" spans="2:9" x14ac:dyDescent="0.3">
      <c r="B190" s="8" t="s">
        <v>730</v>
      </c>
      <c r="C190" s="8" t="s">
        <v>731</v>
      </c>
      <c r="D190" s="12">
        <v>0</v>
      </c>
      <c r="E190" s="12">
        <v>0</v>
      </c>
      <c r="F190" s="12">
        <v>2100</v>
      </c>
      <c r="G190" s="12">
        <f t="shared" si="4"/>
        <v>-2100</v>
      </c>
      <c r="H190" s="12">
        <f t="shared" si="5"/>
        <v>-2100</v>
      </c>
      <c r="I190" s="8" t="s">
        <v>732</v>
      </c>
    </row>
    <row r="191" spans="2:9" x14ac:dyDescent="0.3">
      <c r="B191" s="15" t="s">
        <v>244</v>
      </c>
      <c r="C191" s="15" t="s">
        <v>245</v>
      </c>
      <c r="D191" s="16"/>
      <c r="E191" s="16"/>
      <c r="F191" s="16"/>
      <c r="G191" s="16"/>
      <c r="H191" s="16"/>
      <c r="I191" s="15"/>
    </row>
    <row r="192" spans="2:9" x14ac:dyDescent="0.3">
      <c r="B192" s="8" t="s">
        <v>246</v>
      </c>
      <c r="C192" s="8" t="s">
        <v>247</v>
      </c>
      <c r="D192" s="12">
        <v>-349069.9</v>
      </c>
      <c r="E192" s="12">
        <v>0</v>
      </c>
      <c r="F192" s="12">
        <v>10671</v>
      </c>
      <c r="G192" s="12">
        <f t="shared" si="4"/>
        <v>-10671</v>
      </c>
      <c r="H192" s="12">
        <f t="shared" si="5"/>
        <v>-359740.9</v>
      </c>
      <c r="I192" s="8" t="s">
        <v>248</v>
      </c>
    </row>
    <row r="193" spans="2:9" x14ac:dyDescent="0.3">
      <c r="B193" s="15" t="s">
        <v>249</v>
      </c>
      <c r="C193" s="15" t="s">
        <v>250</v>
      </c>
      <c r="D193" s="16"/>
      <c r="E193" s="16"/>
      <c r="F193" s="16"/>
      <c r="G193" s="16"/>
      <c r="H193" s="16"/>
      <c r="I193" s="15"/>
    </row>
    <row r="194" spans="2:9" x14ac:dyDescent="0.3">
      <c r="B194" s="8" t="s">
        <v>251</v>
      </c>
      <c r="C194" s="8" t="s">
        <v>252</v>
      </c>
      <c r="D194" s="12">
        <v>-135939.13</v>
      </c>
      <c r="E194" s="12">
        <v>850.43</v>
      </c>
      <c r="F194" s="12">
        <v>0</v>
      </c>
      <c r="G194" s="12">
        <f t="shared" si="4"/>
        <v>850.43</v>
      </c>
      <c r="H194" s="12">
        <f t="shared" si="5"/>
        <v>-135088.70000000001</v>
      </c>
      <c r="I194" s="8" t="s">
        <v>253</v>
      </c>
    </row>
    <row r="195" spans="2:9" x14ac:dyDescent="0.3">
      <c r="B195" s="8" t="s">
        <v>254</v>
      </c>
      <c r="C195" s="8" t="s">
        <v>255</v>
      </c>
      <c r="D195" s="12">
        <v>-29823.07</v>
      </c>
      <c r="E195" s="12">
        <v>0</v>
      </c>
      <c r="F195" s="12">
        <v>0</v>
      </c>
      <c r="G195" s="12">
        <f t="shared" si="4"/>
        <v>0</v>
      </c>
      <c r="H195" s="12">
        <f t="shared" si="5"/>
        <v>-29823.07</v>
      </c>
      <c r="I195" s="8" t="s">
        <v>253</v>
      </c>
    </row>
    <row r="196" spans="2:9" x14ac:dyDescent="0.3">
      <c r="B196" s="15" t="s">
        <v>256</v>
      </c>
      <c r="C196" s="15" t="s">
        <v>257</v>
      </c>
      <c r="D196" s="16"/>
      <c r="E196" s="16"/>
      <c r="F196" s="16"/>
      <c r="G196" s="16"/>
      <c r="H196" s="16"/>
      <c r="I196" s="15"/>
    </row>
    <row r="197" spans="2:9" x14ac:dyDescent="0.3">
      <c r="B197" s="8" t="s">
        <v>258</v>
      </c>
      <c r="C197" s="8" t="s">
        <v>259</v>
      </c>
      <c r="D197" s="12">
        <v>-4827319.1100000003</v>
      </c>
      <c r="E197" s="12">
        <v>0</v>
      </c>
      <c r="F197" s="12">
        <v>1098623.82</v>
      </c>
      <c r="G197" s="12">
        <f t="shared" si="4"/>
        <v>-1098623.82</v>
      </c>
      <c r="H197" s="12">
        <f t="shared" si="5"/>
        <v>-5925942.9300000006</v>
      </c>
      <c r="I197" s="8" t="s">
        <v>260</v>
      </c>
    </row>
    <row r="198" spans="2:9" x14ac:dyDescent="0.3">
      <c r="B198" s="8" t="s">
        <v>261</v>
      </c>
      <c r="C198" s="8" t="s">
        <v>262</v>
      </c>
      <c r="D198" s="12">
        <v>-987979.86</v>
      </c>
      <c r="E198" s="12">
        <v>0</v>
      </c>
      <c r="F198" s="12">
        <v>258884.76</v>
      </c>
      <c r="G198" s="12">
        <f t="shared" si="4"/>
        <v>-258884.76</v>
      </c>
      <c r="H198" s="12">
        <f t="shared" si="5"/>
        <v>-1246864.6200000001</v>
      </c>
      <c r="I198" s="8" t="s">
        <v>260</v>
      </c>
    </row>
    <row r="199" spans="2:9" x14ac:dyDescent="0.3">
      <c r="B199" s="15" t="s">
        <v>263</v>
      </c>
      <c r="C199" s="15" t="s">
        <v>264</v>
      </c>
      <c r="D199" s="16"/>
      <c r="E199" s="16"/>
      <c r="F199" s="16"/>
      <c r="G199" s="16"/>
      <c r="H199" s="16"/>
      <c r="I199" s="15"/>
    </row>
    <row r="200" spans="2:9" x14ac:dyDescent="0.3">
      <c r="B200" s="8" t="s">
        <v>681</v>
      </c>
      <c r="C200" s="8" t="s">
        <v>682</v>
      </c>
      <c r="D200" s="12">
        <v>3200</v>
      </c>
      <c r="E200" s="12">
        <v>0</v>
      </c>
      <c r="F200" s="12">
        <v>3200</v>
      </c>
      <c r="G200" s="12">
        <f t="shared" si="4"/>
        <v>-3200</v>
      </c>
      <c r="H200" s="12">
        <f t="shared" si="5"/>
        <v>0</v>
      </c>
      <c r="I200" s="8" t="s">
        <v>267</v>
      </c>
    </row>
    <row r="201" spans="2:9" x14ac:dyDescent="0.3">
      <c r="B201" s="8" t="s">
        <v>566</v>
      </c>
      <c r="C201" s="8" t="s">
        <v>567</v>
      </c>
      <c r="D201" s="12">
        <v>2249</v>
      </c>
      <c r="E201" s="12">
        <v>0</v>
      </c>
      <c r="F201" s="12">
        <v>0</v>
      </c>
      <c r="G201" s="12">
        <f t="shared" ref="G201:G263" si="6">E201-F201</f>
        <v>0</v>
      </c>
      <c r="H201" s="12">
        <f t="shared" ref="H201:H263" si="7">D201+G201</f>
        <v>2249</v>
      </c>
      <c r="I201" s="8" t="s">
        <v>267</v>
      </c>
    </row>
    <row r="202" spans="2:9" x14ac:dyDescent="0.3">
      <c r="B202" s="8" t="s">
        <v>568</v>
      </c>
      <c r="C202" s="8" t="s">
        <v>569</v>
      </c>
      <c r="D202" s="12">
        <v>700</v>
      </c>
      <c r="E202" s="12">
        <v>280</v>
      </c>
      <c r="F202" s="12">
        <v>0</v>
      </c>
      <c r="G202" s="12">
        <f t="shared" si="6"/>
        <v>280</v>
      </c>
      <c r="H202" s="12">
        <f t="shared" si="7"/>
        <v>980</v>
      </c>
      <c r="I202" s="8" t="s">
        <v>267</v>
      </c>
    </row>
    <row r="203" spans="2:9" x14ac:dyDescent="0.3">
      <c r="B203" s="8" t="s">
        <v>683</v>
      </c>
      <c r="C203" s="8" t="s">
        <v>684</v>
      </c>
      <c r="D203" s="12">
        <v>1115</v>
      </c>
      <c r="E203" s="12">
        <v>0</v>
      </c>
      <c r="F203" s="12">
        <v>0</v>
      </c>
      <c r="G203" s="12">
        <f t="shared" si="6"/>
        <v>0</v>
      </c>
      <c r="H203" s="12">
        <f t="shared" si="7"/>
        <v>1115</v>
      </c>
      <c r="I203" s="8" t="s">
        <v>267</v>
      </c>
    </row>
    <row r="204" spans="2:9" x14ac:dyDescent="0.3">
      <c r="B204" s="8" t="s">
        <v>265</v>
      </c>
      <c r="C204" s="8" t="s">
        <v>266</v>
      </c>
      <c r="D204" s="12">
        <v>19331</v>
      </c>
      <c r="E204" s="12">
        <v>8750</v>
      </c>
      <c r="F204" s="12">
        <v>0</v>
      </c>
      <c r="G204" s="12">
        <f t="shared" si="6"/>
        <v>8750</v>
      </c>
      <c r="H204" s="12">
        <f t="shared" si="7"/>
        <v>28081</v>
      </c>
      <c r="I204" s="8" t="s">
        <v>267</v>
      </c>
    </row>
    <row r="205" spans="2:9" x14ac:dyDescent="0.3">
      <c r="B205" s="8" t="s">
        <v>268</v>
      </c>
      <c r="C205" s="8" t="s">
        <v>269</v>
      </c>
      <c r="D205" s="12">
        <v>97240</v>
      </c>
      <c r="E205" s="12">
        <v>3600</v>
      </c>
      <c r="F205" s="12">
        <v>0</v>
      </c>
      <c r="G205" s="12">
        <f t="shared" si="6"/>
        <v>3600</v>
      </c>
      <c r="H205" s="12">
        <f t="shared" si="7"/>
        <v>100840</v>
      </c>
      <c r="I205" s="8" t="s">
        <v>267</v>
      </c>
    </row>
    <row r="206" spans="2:9" x14ac:dyDescent="0.3">
      <c r="B206" s="8" t="s">
        <v>634</v>
      </c>
      <c r="C206" s="8" t="s">
        <v>635</v>
      </c>
      <c r="D206" s="12">
        <v>1383.7</v>
      </c>
      <c r="E206" s="12">
        <v>3261</v>
      </c>
      <c r="F206" s="12">
        <v>1440</v>
      </c>
      <c r="G206" s="12">
        <f t="shared" si="6"/>
        <v>1821</v>
      </c>
      <c r="H206" s="12">
        <f t="shared" si="7"/>
        <v>3204.7</v>
      </c>
      <c r="I206" s="8" t="s">
        <v>267</v>
      </c>
    </row>
    <row r="207" spans="2:9" x14ac:dyDescent="0.3">
      <c r="B207" s="8" t="s">
        <v>270</v>
      </c>
      <c r="C207" s="8" t="s">
        <v>271</v>
      </c>
      <c r="D207" s="12">
        <v>3412345.45</v>
      </c>
      <c r="E207" s="12">
        <v>670094.88</v>
      </c>
      <c r="F207" s="12">
        <v>0</v>
      </c>
      <c r="G207" s="12">
        <f t="shared" si="6"/>
        <v>670094.88</v>
      </c>
      <c r="H207" s="12">
        <f t="shared" si="7"/>
        <v>4082440.33</v>
      </c>
      <c r="I207" s="8" t="s">
        <v>267</v>
      </c>
    </row>
    <row r="208" spans="2:9" x14ac:dyDescent="0.3">
      <c r="B208" s="8" t="s">
        <v>272</v>
      </c>
      <c r="C208" s="8" t="s">
        <v>273</v>
      </c>
      <c r="D208" s="12">
        <v>26891.26</v>
      </c>
      <c r="E208" s="12">
        <v>17939.2</v>
      </c>
      <c r="F208" s="12">
        <v>11260.54</v>
      </c>
      <c r="G208" s="12">
        <f t="shared" si="6"/>
        <v>6678.66</v>
      </c>
      <c r="H208" s="12">
        <f t="shared" si="7"/>
        <v>33569.919999999998</v>
      </c>
      <c r="I208" s="8" t="s">
        <v>267</v>
      </c>
    </row>
    <row r="209" spans="2:9" x14ac:dyDescent="0.3">
      <c r="B209" s="8" t="s">
        <v>274</v>
      </c>
      <c r="C209" s="8" t="s">
        <v>275</v>
      </c>
      <c r="D209" s="12">
        <v>-156292.15</v>
      </c>
      <c r="E209" s="12">
        <v>0</v>
      </c>
      <c r="F209" s="12">
        <v>0</v>
      </c>
      <c r="G209" s="12">
        <f t="shared" si="6"/>
        <v>0</v>
      </c>
      <c r="H209" s="12">
        <f t="shared" si="7"/>
        <v>-156292.15</v>
      </c>
      <c r="I209" s="8" t="s">
        <v>267</v>
      </c>
    </row>
    <row r="210" spans="2:9" x14ac:dyDescent="0.3">
      <c r="B210" s="15" t="s">
        <v>276</v>
      </c>
      <c r="C210" s="15" t="s">
        <v>277</v>
      </c>
      <c r="D210" s="16"/>
      <c r="E210" s="16"/>
      <c r="F210" s="16"/>
      <c r="G210" s="16"/>
      <c r="H210" s="16"/>
      <c r="I210" s="15"/>
    </row>
    <row r="211" spans="2:9" x14ac:dyDescent="0.3">
      <c r="B211" s="8" t="s">
        <v>278</v>
      </c>
      <c r="C211" s="8" t="s">
        <v>279</v>
      </c>
      <c r="D211" s="12">
        <v>559505</v>
      </c>
      <c r="E211" s="12">
        <v>134184</v>
      </c>
      <c r="F211" s="12">
        <v>0</v>
      </c>
      <c r="G211" s="12">
        <f t="shared" si="6"/>
        <v>134184</v>
      </c>
      <c r="H211" s="12">
        <f t="shared" si="7"/>
        <v>693689</v>
      </c>
      <c r="I211" s="8" t="s">
        <v>280</v>
      </c>
    </row>
    <row r="212" spans="2:9" x14ac:dyDescent="0.3">
      <c r="B212" s="8" t="s">
        <v>281</v>
      </c>
      <c r="C212" s="8" t="s">
        <v>282</v>
      </c>
      <c r="D212" s="12">
        <v>46570</v>
      </c>
      <c r="E212" s="12">
        <v>8924</v>
      </c>
      <c r="F212" s="12">
        <v>0</v>
      </c>
      <c r="G212" s="12">
        <f t="shared" si="6"/>
        <v>8924</v>
      </c>
      <c r="H212" s="12">
        <f t="shared" si="7"/>
        <v>55494</v>
      </c>
      <c r="I212" s="8" t="s">
        <v>280</v>
      </c>
    </row>
    <row r="213" spans="2:9" x14ac:dyDescent="0.3">
      <c r="B213" s="8" t="s">
        <v>283</v>
      </c>
      <c r="C213" s="8" t="s">
        <v>284</v>
      </c>
      <c r="D213" s="12">
        <v>64811.58</v>
      </c>
      <c r="E213" s="12">
        <v>16626.5</v>
      </c>
      <c r="F213" s="12">
        <v>281</v>
      </c>
      <c r="G213" s="12">
        <f t="shared" si="6"/>
        <v>16345.5</v>
      </c>
      <c r="H213" s="12">
        <f t="shared" si="7"/>
        <v>81157.08</v>
      </c>
      <c r="I213" s="8" t="s">
        <v>280</v>
      </c>
    </row>
    <row r="214" spans="2:9" x14ac:dyDescent="0.3">
      <c r="B214" s="8" t="s">
        <v>570</v>
      </c>
      <c r="C214" s="8" t="s">
        <v>571</v>
      </c>
      <c r="D214" s="12">
        <v>16</v>
      </c>
      <c r="E214" s="12">
        <v>0</v>
      </c>
      <c r="F214" s="12">
        <v>0</v>
      </c>
      <c r="G214" s="12">
        <f t="shared" si="6"/>
        <v>0</v>
      </c>
      <c r="H214" s="12">
        <f t="shared" si="7"/>
        <v>16</v>
      </c>
      <c r="I214" s="8" t="s">
        <v>280</v>
      </c>
    </row>
    <row r="215" spans="2:9" x14ac:dyDescent="0.3">
      <c r="B215" s="8" t="s">
        <v>285</v>
      </c>
      <c r="C215" s="8" t="s">
        <v>286</v>
      </c>
      <c r="D215" s="12">
        <v>22193.58</v>
      </c>
      <c r="E215" s="12">
        <v>4575</v>
      </c>
      <c r="F215" s="12">
        <v>0</v>
      </c>
      <c r="G215" s="12">
        <f t="shared" si="6"/>
        <v>4575</v>
      </c>
      <c r="H215" s="12">
        <f t="shared" si="7"/>
        <v>26768.58</v>
      </c>
      <c r="I215" s="8" t="s">
        <v>280</v>
      </c>
    </row>
    <row r="216" spans="2:9" x14ac:dyDescent="0.3">
      <c r="B216" s="8" t="s">
        <v>287</v>
      </c>
      <c r="C216" s="8" t="s">
        <v>288</v>
      </c>
      <c r="D216" s="12">
        <v>24582.5</v>
      </c>
      <c r="E216" s="12">
        <v>7129</v>
      </c>
      <c r="F216" s="12">
        <v>0</v>
      </c>
      <c r="G216" s="12">
        <f t="shared" si="6"/>
        <v>7129</v>
      </c>
      <c r="H216" s="12">
        <f t="shared" si="7"/>
        <v>31711.5</v>
      </c>
      <c r="I216" s="8" t="s">
        <v>280</v>
      </c>
    </row>
    <row r="217" spans="2:9" x14ac:dyDescent="0.3">
      <c r="B217" s="8" t="s">
        <v>289</v>
      </c>
      <c r="C217" s="8" t="s">
        <v>290</v>
      </c>
      <c r="D217" s="12">
        <v>32645</v>
      </c>
      <c r="E217" s="12">
        <v>10129</v>
      </c>
      <c r="F217" s="12">
        <v>0</v>
      </c>
      <c r="G217" s="12">
        <f t="shared" si="6"/>
        <v>10129</v>
      </c>
      <c r="H217" s="12">
        <f t="shared" si="7"/>
        <v>42774</v>
      </c>
      <c r="I217" s="8" t="s">
        <v>280</v>
      </c>
    </row>
    <row r="218" spans="2:9" x14ac:dyDescent="0.3">
      <c r="B218" s="8" t="s">
        <v>636</v>
      </c>
      <c r="C218" s="8" t="s">
        <v>637</v>
      </c>
      <c r="D218" s="12">
        <v>3256.25</v>
      </c>
      <c r="E218" s="12">
        <v>0</v>
      </c>
      <c r="F218" s="12">
        <v>0</v>
      </c>
      <c r="G218" s="12">
        <f t="shared" si="6"/>
        <v>0</v>
      </c>
      <c r="H218" s="12">
        <f t="shared" si="7"/>
        <v>3256.25</v>
      </c>
      <c r="I218" s="8" t="s">
        <v>280</v>
      </c>
    </row>
    <row r="219" spans="2:9" x14ac:dyDescent="0.3">
      <c r="B219" s="8" t="s">
        <v>291</v>
      </c>
      <c r="C219" s="8" t="s">
        <v>292</v>
      </c>
      <c r="D219" s="12">
        <v>1732.74</v>
      </c>
      <c r="E219" s="12">
        <v>139.13</v>
      </c>
      <c r="F219" s="12">
        <v>0</v>
      </c>
      <c r="G219" s="12">
        <f t="shared" si="6"/>
        <v>139.13</v>
      </c>
      <c r="H219" s="12">
        <f t="shared" si="7"/>
        <v>1871.87</v>
      </c>
      <c r="I219" s="8" t="s">
        <v>280</v>
      </c>
    </row>
    <row r="220" spans="2:9" x14ac:dyDescent="0.3">
      <c r="B220" s="8" t="s">
        <v>733</v>
      </c>
      <c r="C220" s="8" t="s">
        <v>734</v>
      </c>
      <c r="D220" s="12">
        <v>0</v>
      </c>
      <c r="E220" s="12">
        <v>10000</v>
      </c>
      <c r="F220" s="12">
        <v>0</v>
      </c>
      <c r="G220" s="12">
        <f t="shared" si="6"/>
        <v>10000</v>
      </c>
      <c r="H220" s="12">
        <f t="shared" si="7"/>
        <v>10000</v>
      </c>
      <c r="I220" s="8" t="s">
        <v>280</v>
      </c>
    </row>
    <row r="221" spans="2:9" x14ac:dyDescent="0.3">
      <c r="B221" s="8" t="s">
        <v>293</v>
      </c>
      <c r="C221" s="8" t="s">
        <v>294</v>
      </c>
      <c r="D221" s="12">
        <v>81141.7</v>
      </c>
      <c r="E221" s="12">
        <v>29423.08</v>
      </c>
      <c r="F221" s="12">
        <v>0</v>
      </c>
      <c r="G221" s="12">
        <f t="shared" si="6"/>
        <v>29423.08</v>
      </c>
      <c r="H221" s="12">
        <f t="shared" si="7"/>
        <v>110564.78</v>
      </c>
      <c r="I221" s="8" t="s">
        <v>280</v>
      </c>
    </row>
    <row r="222" spans="2:9" x14ac:dyDescent="0.3">
      <c r="B222" s="8" t="s">
        <v>735</v>
      </c>
      <c r="C222" s="8" t="s">
        <v>736</v>
      </c>
      <c r="D222" s="12">
        <v>0</v>
      </c>
      <c r="E222" s="12">
        <v>325</v>
      </c>
      <c r="F222" s="12">
        <v>0</v>
      </c>
      <c r="G222" s="12">
        <f t="shared" si="6"/>
        <v>325</v>
      </c>
      <c r="H222" s="12">
        <f t="shared" si="7"/>
        <v>325</v>
      </c>
      <c r="I222" s="8" t="s">
        <v>280</v>
      </c>
    </row>
    <row r="223" spans="2:9" x14ac:dyDescent="0.3">
      <c r="B223" s="8" t="s">
        <v>295</v>
      </c>
      <c r="C223" s="8" t="s">
        <v>296</v>
      </c>
      <c r="D223" s="12">
        <v>11325</v>
      </c>
      <c r="E223" s="12">
        <v>7275</v>
      </c>
      <c r="F223" s="12">
        <v>0</v>
      </c>
      <c r="G223" s="12">
        <f t="shared" si="6"/>
        <v>7275</v>
      </c>
      <c r="H223" s="12">
        <f t="shared" si="7"/>
        <v>18600</v>
      </c>
      <c r="I223" s="8" t="s">
        <v>280</v>
      </c>
    </row>
    <row r="224" spans="2:9" x14ac:dyDescent="0.3">
      <c r="B224" s="8" t="s">
        <v>297</v>
      </c>
      <c r="C224" s="8" t="s">
        <v>298</v>
      </c>
      <c r="D224" s="12">
        <v>1300</v>
      </c>
      <c r="E224" s="12">
        <v>600</v>
      </c>
      <c r="F224" s="12">
        <v>0</v>
      </c>
      <c r="G224" s="12">
        <f t="shared" si="6"/>
        <v>600</v>
      </c>
      <c r="H224" s="12">
        <f t="shared" si="7"/>
        <v>1900</v>
      </c>
      <c r="I224" s="8" t="s">
        <v>280</v>
      </c>
    </row>
    <row r="225" spans="2:9" x14ac:dyDescent="0.3">
      <c r="B225" s="8" t="s">
        <v>299</v>
      </c>
      <c r="C225" s="8" t="s">
        <v>300</v>
      </c>
      <c r="D225" s="12">
        <v>32515</v>
      </c>
      <c r="E225" s="12">
        <v>162</v>
      </c>
      <c r="F225" s="12">
        <v>0</v>
      </c>
      <c r="G225" s="12">
        <f t="shared" si="6"/>
        <v>162</v>
      </c>
      <c r="H225" s="12">
        <f t="shared" si="7"/>
        <v>32677</v>
      </c>
      <c r="I225" s="8" t="s">
        <v>280</v>
      </c>
    </row>
    <row r="226" spans="2:9" x14ac:dyDescent="0.3">
      <c r="B226" s="15" t="s">
        <v>301</v>
      </c>
      <c r="C226" s="15" t="s">
        <v>302</v>
      </c>
      <c r="D226" s="16"/>
      <c r="E226" s="16"/>
      <c r="F226" s="16"/>
      <c r="G226" s="16"/>
      <c r="H226" s="16"/>
      <c r="I226" s="15"/>
    </row>
    <row r="227" spans="2:9" x14ac:dyDescent="0.3">
      <c r="B227" s="8" t="s">
        <v>303</v>
      </c>
      <c r="C227" s="8" t="s">
        <v>304</v>
      </c>
      <c r="D227" s="12">
        <v>5892.6</v>
      </c>
      <c r="E227" s="12">
        <v>0</v>
      </c>
      <c r="F227" s="12">
        <v>0</v>
      </c>
      <c r="G227" s="12">
        <f t="shared" si="6"/>
        <v>0</v>
      </c>
      <c r="H227" s="12">
        <f t="shared" si="7"/>
        <v>5892.6</v>
      </c>
      <c r="I227" s="8" t="s">
        <v>305</v>
      </c>
    </row>
    <row r="228" spans="2:9" x14ac:dyDescent="0.3">
      <c r="B228" s="8" t="s">
        <v>306</v>
      </c>
      <c r="C228" s="8" t="s">
        <v>307</v>
      </c>
      <c r="D228" s="12">
        <v>50184</v>
      </c>
      <c r="E228" s="12">
        <v>12546</v>
      </c>
      <c r="F228" s="12">
        <v>0</v>
      </c>
      <c r="G228" s="12">
        <f t="shared" si="6"/>
        <v>12546</v>
      </c>
      <c r="H228" s="12">
        <f t="shared" si="7"/>
        <v>62730</v>
      </c>
      <c r="I228" s="8" t="s">
        <v>305</v>
      </c>
    </row>
    <row r="229" spans="2:9" x14ac:dyDescent="0.3">
      <c r="B229" s="8" t="s">
        <v>308</v>
      </c>
      <c r="C229" s="8" t="s">
        <v>309</v>
      </c>
      <c r="D229" s="12">
        <v>1050</v>
      </c>
      <c r="E229" s="12">
        <v>0</v>
      </c>
      <c r="F229" s="12">
        <v>0</v>
      </c>
      <c r="G229" s="12">
        <f t="shared" si="6"/>
        <v>0</v>
      </c>
      <c r="H229" s="12">
        <f t="shared" si="7"/>
        <v>1050</v>
      </c>
      <c r="I229" s="8" t="s">
        <v>305</v>
      </c>
    </row>
    <row r="230" spans="2:9" x14ac:dyDescent="0.3">
      <c r="B230" s="15" t="s">
        <v>310</v>
      </c>
      <c r="C230" s="15" t="s">
        <v>311</v>
      </c>
      <c r="D230" s="16"/>
      <c r="E230" s="16"/>
      <c r="F230" s="16"/>
      <c r="G230" s="16"/>
      <c r="H230" s="16"/>
      <c r="I230" s="15"/>
    </row>
    <row r="231" spans="2:9" x14ac:dyDescent="0.3">
      <c r="B231" s="8" t="s">
        <v>312</v>
      </c>
      <c r="C231" s="8" t="s">
        <v>313</v>
      </c>
      <c r="D231" s="12">
        <v>42751.54</v>
      </c>
      <c r="E231" s="12">
        <v>10754.17</v>
      </c>
      <c r="F231" s="12">
        <v>0</v>
      </c>
      <c r="G231" s="12">
        <f t="shared" si="6"/>
        <v>10754.17</v>
      </c>
      <c r="H231" s="12">
        <f t="shared" si="7"/>
        <v>53505.71</v>
      </c>
      <c r="I231" s="8" t="s">
        <v>314</v>
      </c>
    </row>
    <row r="232" spans="2:9" x14ac:dyDescent="0.3">
      <c r="B232" s="8" t="s">
        <v>315</v>
      </c>
      <c r="C232" s="8" t="s">
        <v>316</v>
      </c>
      <c r="D232" s="12">
        <v>327.33999999999997</v>
      </c>
      <c r="E232" s="12">
        <v>81.84</v>
      </c>
      <c r="F232" s="12">
        <v>0</v>
      </c>
      <c r="G232" s="12">
        <f t="shared" si="6"/>
        <v>81.84</v>
      </c>
      <c r="H232" s="12">
        <f t="shared" si="7"/>
        <v>409.17999999999995</v>
      </c>
      <c r="I232" s="8" t="s">
        <v>314</v>
      </c>
    </row>
    <row r="233" spans="2:9" x14ac:dyDescent="0.3">
      <c r="B233" s="8" t="s">
        <v>317</v>
      </c>
      <c r="C233" s="8" t="s">
        <v>318</v>
      </c>
      <c r="D233" s="12">
        <v>19036.43</v>
      </c>
      <c r="E233" s="12">
        <v>9567.1200000000008</v>
      </c>
      <c r="F233" s="12">
        <v>0</v>
      </c>
      <c r="G233" s="12">
        <f t="shared" si="6"/>
        <v>9567.1200000000008</v>
      </c>
      <c r="H233" s="12">
        <f t="shared" si="7"/>
        <v>28603.550000000003</v>
      </c>
      <c r="I233" s="8" t="s">
        <v>314</v>
      </c>
    </row>
    <row r="234" spans="2:9" x14ac:dyDescent="0.3">
      <c r="B234" s="8" t="s">
        <v>319</v>
      </c>
      <c r="C234" s="8" t="s">
        <v>320</v>
      </c>
      <c r="D234" s="12">
        <v>1838.27</v>
      </c>
      <c r="E234" s="12">
        <v>459.56</v>
      </c>
      <c r="F234" s="12">
        <v>0</v>
      </c>
      <c r="G234" s="12">
        <f t="shared" si="6"/>
        <v>459.56</v>
      </c>
      <c r="H234" s="12">
        <f t="shared" si="7"/>
        <v>2297.83</v>
      </c>
      <c r="I234" s="8" t="s">
        <v>314</v>
      </c>
    </row>
    <row r="235" spans="2:9" x14ac:dyDescent="0.3">
      <c r="B235" s="8" t="s">
        <v>321</v>
      </c>
      <c r="C235" s="8" t="s">
        <v>322</v>
      </c>
      <c r="D235" s="12">
        <v>17059.59</v>
      </c>
      <c r="E235" s="12">
        <v>16299.95</v>
      </c>
      <c r="F235" s="12">
        <v>0</v>
      </c>
      <c r="G235" s="12">
        <f t="shared" si="6"/>
        <v>16299.95</v>
      </c>
      <c r="H235" s="12">
        <f t="shared" si="7"/>
        <v>33359.54</v>
      </c>
      <c r="I235" s="8" t="s">
        <v>314</v>
      </c>
    </row>
    <row r="236" spans="2:9" x14ac:dyDescent="0.3">
      <c r="B236" s="8" t="s">
        <v>323</v>
      </c>
      <c r="C236" s="8" t="s">
        <v>324</v>
      </c>
      <c r="D236" s="12">
        <v>211.15</v>
      </c>
      <c r="E236" s="12">
        <v>52.78</v>
      </c>
      <c r="F236" s="12">
        <v>0</v>
      </c>
      <c r="G236" s="12">
        <f t="shared" si="6"/>
        <v>52.78</v>
      </c>
      <c r="H236" s="12">
        <f t="shared" si="7"/>
        <v>263.93</v>
      </c>
      <c r="I236" s="8" t="s">
        <v>314</v>
      </c>
    </row>
    <row r="237" spans="2:9" x14ac:dyDescent="0.3">
      <c r="B237" s="8" t="s">
        <v>325</v>
      </c>
      <c r="C237" s="8" t="s">
        <v>326</v>
      </c>
      <c r="D237" s="12">
        <v>3433.09</v>
      </c>
      <c r="E237" s="12">
        <v>870.23</v>
      </c>
      <c r="F237" s="12">
        <v>0</v>
      </c>
      <c r="G237" s="12">
        <f t="shared" si="6"/>
        <v>870.23</v>
      </c>
      <c r="H237" s="12">
        <f t="shared" si="7"/>
        <v>4303.32</v>
      </c>
      <c r="I237" s="8" t="s">
        <v>314</v>
      </c>
    </row>
    <row r="238" spans="2:9" x14ac:dyDescent="0.3">
      <c r="B238" s="15" t="s">
        <v>327</v>
      </c>
      <c r="C238" s="15" t="s">
        <v>328</v>
      </c>
      <c r="D238" s="16"/>
      <c r="E238" s="16"/>
      <c r="F238" s="16"/>
      <c r="G238" s="16"/>
      <c r="H238" s="16"/>
      <c r="I238" s="15"/>
    </row>
    <row r="239" spans="2:9" x14ac:dyDescent="0.3">
      <c r="B239" s="8" t="s">
        <v>329</v>
      </c>
      <c r="C239" s="8" t="s">
        <v>330</v>
      </c>
      <c r="D239" s="12">
        <v>450.97</v>
      </c>
      <c r="E239" s="12">
        <v>168</v>
      </c>
      <c r="F239" s="12">
        <v>0</v>
      </c>
      <c r="G239" s="12">
        <f t="shared" si="6"/>
        <v>168</v>
      </c>
      <c r="H239" s="12">
        <f t="shared" si="7"/>
        <v>618.97</v>
      </c>
      <c r="I239" s="8" t="s">
        <v>331</v>
      </c>
    </row>
    <row r="240" spans="2:9" x14ac:dyDescent="0.3">
      <c r="B240" s="8" t="s">
        <v>332</v>
      </c>
      <c r="C240" s="8" t="s">
        <v>333</v>
      </c>
      <c r="D240" s="12">
        <v>4124.78</v>
      </c>
      <c r="E240" s="12">
        <v>0</v>
      </c>
      <c r="F240" s="12">
        <v>0</v>
      </c>
      <c r="G240" s="12">
        <f t="shared" si="6"/>
        <v>0</v>
      </c>
      <c r="H240" s="12">
        <f t="shared" si="7"/>
        <v>4124.78</v>
      </c>
      <c r="I240" s="8" t="s">
        <v>331</v>
      </c>
    </row>
    <row r="241" spans="2:9" x14ac:dyDescent="0.3">
      <c r="B241" s="8" t="s">
        <v>685</v>
      </c>
      <c r="C241" s="8" t="s">
        <v>686</v>
      </c>
      <c r="D241" s="12">
        <v>1260</v>
      </c>
      <c r="E241" s="12">
        <v>574.78</v>
      </c>
      <c r="F241" s="12">
        <v>0</v>
      </c>
      <c r="G241" s="12">
        <f t="shared" si="6"/>
        <v>574.78</v>
      </c>
      <c r="H241" s="12">
        <f t="shared" si="7"/>
        <v>1834.78</v>
      </c>
      <c r="I241" s="8" t="s">
        <v>331</v>
      </c>
    </row>
    <row r="242" spans="2:9" x14ac:dyDescent="0.3">
      <c r="B242" s="8" t="s">
        <v>334</v>
      </c>
      <c r="C242" s="8" t="s">
        <v>335</v>
      </c>
      <c r="D242" s="12">
        <v>710.9</v>
      </c>
      <c r="E242" s="12">
        <v>0</v>
      </c>
      <c r="F242" s="12">
        <v>0</v>
      </c>
      <c r="G242" s="12">
        <f t="shared" si="6"/>
        <v>0</v>
      </c>
      <c r="H242" s="12">
        <f t="shared" si="7"/>
        <v>710.9</v>
      </c>
      <c r="I242" s="8" t="s">
        <v>331</v>
      </c>
    </row>
    <row r="243" spans="2:9" x14ac:dyDescent="0.3">
      <c r="B243" s="8" t="s">
        <v>687</v>
      </c>
      <c r="C243" s="8" t="s">
        <v>688</v>
      </c>
      <c r="D243" s="12">
        <v>250.24</v>
      </c>
      <c r="E243" s="12">
        <v>13.05</v>
      </c>
      <c r="F243" s="12">
        <v>0</v>
      </c>
      <c r="G243" s="12">
        <f t="shared" si="6"/>
        <v>13.05</v>
      </c>
      <c r="H243" s="12">
        <f t="shared" si="7"/>
        <v>263.29000000000002</v>
      </c>
      <c r="I243" s="8" t="s">
        <v>331</v>
      </c>
    </row>
    <row r="244" spans="2:9" x14ac:dyDescent="0.3">
      <c r="B244" s="8" t="s">
        <v>336</v>
      </c>
      <c r="C244" s="8" t="s">
        <v>337</v>
      </c>
      <c r="D244" s="12">
        <v>2062.23</v>
      </c>
      <c r="E244" s="12">
        <v>0</v>
      </c>
      <c r="F244" s="12">
        <v>0</v>
      </c>
      <c r="G244" s="12">
        <f t="shared" si="6"/>
        <v>0</v>
      </c>
      <c r="H244" s="12">
        <f t="shared" si="7"/>
        <v>2062.23</v>
      </c>
      <c r="I244" s="8" t="s">
        <v>331</v>
      </c>
    </row>
    <row r="245" spans="2:9" x14ac:dyDescent="0.3">
      <c r="B245" s="8" t="s">
        <v>338</v>
      </c>
      <c r="C245" s="8" t="s">
        <v>339</v>
      </c>
      <c r="D245" s="12">
        <v>4544.17</v>
      </c>
      <c r="E245" s="12">
        <v>895.5</v>
      </c>
      <c r="F245" s="12">
        <v>0</v>
      </c>
      <c r="G245" s="12">
        <f t="shared" si="6"/>
        <v>895.5</v>
      </c>
      <c r="H245" s="12">
        <f t="shared" si="7"/>
        <v>5439.67</v>
      </c>
      <c r="I245" s="8" t="s">
        <v>331</v>
      </c>
    </row>
    <row r="246" spans="2:9" x14ac:dyDescent="0.3">
      <c r="B246" s="8" t="s">
        <v>340</v>
      </c>
      <c r="C246" s="8" t="s">
        <v>341</v>
      </c>
      <c r="D246" s="12">
        <v>445</v>
      </c>
      <c r="E246" s="12">
        <v>45</v>
      </c>
      <c r="F246" s="12">
        <v>0</v>
      </c>
      <c r="G246" s="12">
        <f t="shared" si="6"/>
        <v>45</v>
      </c>
      <c r="H246" s="12">
        <f t="shared" si="7"/>
        <v>490</v>
      </c>
      <c r="I246" s="8" t="s">
        <v>331</v>
      </c>
    </row>
    <row r="247" spans="2:9" x14ac:dyDescent="0.3">
      <c r="B247" s="8" t="s">
        <v>342</v>
      </c>
      <c r="C247" s="8" t="s">
        <v>343</v>
      </c>
      <c r="D247" s="12">
        <v>16421.07</v>
      </c>
      <c r="E247" s="12">
        <v>5209.91</v>
      </c>
      <c r="F247" s="12">
        <v>0</v>
      </c>
      <c r="G247" s="12">
        <f t="shared" si="6"/>
        <v>5209.91</v>
      </c>
      <c r="H247" s="12">
        <f t="shared" si="7"/>
        <v>21630.98</v>
      </c>
      <c r="I247" s="8" t="s">
        <v>331</v>
      </c>
    </row>
    <row r="248" spans="2:9" x14ac:dyDescent="0.3">
      <c r="B248" s="8" t="s">
        <v>344</v>
      </c>
      <c r="C248" s="8" t="s">
        <v>345</v>
      </c>
      <c r="D248" s="12">
        <v>16149.06</v>
      </c>
      <c r="E248" s="12">
        <v>0</v>
      </c>
      <c r="F248" s="12">
        <v>0</v>
      </c>
      <c r="G248" s="12">
        <f t="shared" si="6"/>
        <v>0</v>
      </c>
      <c r="H248" s="12">
        <f t="shared" si="7"/>
        <v>16149.06</v>
      </c>
      <c r="I248" s="8" t="s">
        <v>331</v>
      </c>
    </row>
    <row r="249" spans="2:9" x14ac:dyDescent="0.3">
      <c r="B249" s="8" t="s">
        <v>689</v>
      </c>
      <c r="C249" s="8" t="s">
        <v>690</v>
      </c>
      <c r="D249" s="12">
        <v>60</v>
      </c>
      <c r="E249" s="12">
        <v>40</v>
      </c>
      <c r="F249" s="12">
        <v>0</v>
      </c>
      <c r="G249" s="12">
        <f t="shared" si="6"/>
        <v>40</v>
      </c>
      <c r="H249" s="12">
        <f t="shared" si="7"/>
        <v>100</v>
      </c>
      <c r="I249" s="8" t="s">
        <v>331</v>
      </c>
    </row>
    <row r="250" spans="2:9" x14ac:dyDescent="0.3">
      <c r="B250" s="8" t="s">
        <v>346</v>
      </c>
      <c r="C250" s="8" t="s">
        <v>347</v>
      </c>
      <c r="D250" s="12">
        <v>311.27</v>
      </c>
      <c r="E250" s="12">
        <v>0</v>
      </c>
      <c r="F250" s="12">
        <v>0</v>
      </c>
      <c r="G250" s="12">
        <f t="shared" si="6"/>
        <v>0</v>
      </c>
      <c r="H250" s="12">
        <f t="shared" si="7"/>
        <v>311.27</v>
      </c>
      <c r="I250" s="8" t="s">
        <v>331</v>
      </c>
    </row>
    <row r="251" spans="2:9" x14ac:dyDescent="0.3">
      <c r="B251" s="8" t="s">
        <v>737</v>
      </c>
      <c r="C251" s="8" t="s">
        <v>738</v>
      </c>
      <c r="D251" s="12">
        <v>0</v>
      </c>
      <c r="E251" s="12">
        <v>626</v>
      </c>
      <c r="F251" s="12">
        <v>0</v>
      </c>
      <c r="G251" s="12">
        <f t="shared" si="6"/>
        <v>626</v>
      </c>
      <c r="H251" s="12">
        <f t="shared" si="7"/>
        <v>626</v>
      </c>
      <c r="I251" s="8" t="s">
        <v>331</v>
      </c>
    </row>
    <row r="252" spans="2:9" x14ac:dyDescent="0.3">
      <c r="B252" s="8" t="s">
        <v>739</v>
      </c>
      <c r="C252" s="8" t="s">
        <v>740</v>
      </c>
      <c r="D252" s="12">
        <v>0</v>
      </c>
      <c r="E252" s="12">
        <v>589.35</v>
      </c>
      <c r="F252" s="12">
        <v>0</v>
      </c>
      <c r="G252" s="12">
        <f t="shared" si="6"/>
        <v>589.35</v>
      </c>
      <c r="H252" s="12">
        <f t="shared" si="7"/>
        <v>589.35</v>
      </c>
      <c r="I252" s="8" t="s">
        <v>331</v>
      </c>
    </row>
    <row r="253" spans="2:9" x14ac:dyDescent="0.3">
      <c r="B253" s="8" t="s">
        <v>348</v>
      </c>
      <c r="C253" s="8" t="s">
        <v>349</v>
      </c>
      <c r="D253" s="12">
        <v>5358.48</v>
      </c>
      <c r="E253" s="12">
        <v>0</v>
      </c>
      <c r="F253" s="12">
        <v>0</v>
      </c>
      <c r="G253" s="12">
        <f t="shared" si="6"/>
        <v>0</v>
      </c>
      <c r="H253" s="12">
        <f t="shared" si="7"/>
        <v>5358.48</v>
      </c>
      <c r="I253" s="8" t="s">
        <v>331</v>
      </c>
    </row>
    <row r="254" spans="2:9" x14ac:dyDescent="0.3">
      <c r="B254" s="8" t="s">
        <v>572</v>
      </c>
      <c r="C254" s="8" t="s">
        <v>573</v>
      </c>
      <c r="D254" s="12">
        <v>400</v>
      </c>
      <c r="E254" s="12">
        <v>20</v>
      </c>
      <c r="F254" s="12">
        <v>0</v>
      </c>
      <c r="G254" s="12">
        <f t="shared" si="6"/>
        <v>20</v>
      </c>
      <c r="H254" s="12">
        <f t="shared" si="7"/>
        <v>420</v>
      </c>
      <c r="I254" s="8" t="s">
        <v>331</v>
      </c>
    </row>
    <row r="255" spans="2:9" x14ac:dyDescent="0.3">
      <c r="B255" s="8" t="s">
        <v>574</v>
      </c>
      <c r="C255" s="8" t="s">
        <v>575</v>
      </c>
      <c r="D255" s="12">
        <v>530</v>
      </c>
      <c r="E255" s="12">
        <v>0</v>
      </c>
      <c r="F255" s="12">
        <v>0</v>
      </c>
      <c r="G255" s="12">
        <f t="shared" si="6"/>
        <v>0</v>
      </c>
      <c r="H255" s="12">
        <f t="shared" si="7"/>
        <v>530</v>
      </c>
      <c r="I255" s="8" t="s">
        <v>331</v>
      </c>
    </row>
    <row r="256" spans="2:9" x14ac:dyDescent="0.3">
      <c r="B256" s="8" t="s">
        <v>691</v>
      </c>
      <c r="C256" s="8" t="s">
        <v>692</v>
      </c>
      <c r="D256" s="12">
        <v>158.04</v>
      </c>
      <c r="E256" s="12">
        <v>0</v>
      </c>
      <c r="F256" s="12">
        <v>0</v>
      </c>
      <c r="G256" s="12">
        <f t="shared" si="6"/>
        <v>0</v>
      </c>
      <c r="H256" s="12">
        <f t="shared" si="7"/>
        <v>158.04</v>
      </c>
      <c r="I256" s="8" t="s">
        <v>331</v>
      </c>
    </row>
    <row r="257" spans="2:9" x14ac:dyDescent="0.3">
      <c r="B257" s="8" t="s">
        <v>576</v>
      </c>
      <c r="C257" s="8" t="s">
        <v>577</v>
      </c>
      <c r="D257" s="12">
        <v>2577.5</v>
      </c>
      <c r="E257" s="12">
        <v>0</v>
      </c>
      <c r="F257" s="12">
        <v>0</v>
      </c>
      <c r="G257" s="12">
        <f t="shared" si="6"/>
        <v>0</v>
      </c>
      <c r="H257" s="12">
        <f t="shared" si="7"/>
        <v>2577.5</v>
      </c>
      <c r="I257" s="8" t="s">
        <v>331</v>
      </c>
    </row>
    <row r="258" spans="2:9" x14ac:dyDescent="0.3">
      <c r="B258" s="8" t="s">
        <v>350</v>
      </c>
      <c r="C258" s="8" t="s">
        <v>351</v>
      </c>
      <c r="D258" s="12">
        <v>2000</v>
      </c>
      <c r="E258" s="12">
        <v>0</v>
      </c>
      <c r="F258" s="12">
        <v>0</v>
      </c>
      <c r="G258" s="12">
        <f t="shared" si="6"/>
        <v>0</v>
      </c>
      <c r="H258" s="12">
        <f t="shared" si="7"/>
        <v>2000</v>
      </c>
      <c r="I258" s="8" t="s">
        <v>331</v>
      </c>
    </row>
    <row r="259" spans="2:9" x14ac:dyDescent="0.3">
      <c r="B259" s="8" t="s">
        <v>352</v>
      </c>
      <c r="C259" s="8" t="s">
        <v>353</v>
      </c>
      <c r="D259" s="12">
        <v>6789.26</v>
      </c>
      <c r="E259" s="12">
        <v>3200</v>
      </c>
      <c r="F259" s="12">
        <v>0</v>
      </c>
      <c r="G259" s="12">
        <f t="shared" si="6"/>
        <v>3200</v>
      </c>
      <c r="H259" s="12">
        <f t="shared" si="7"/>
        <v>9989.26</v>
      </c>
      <c r="I259" s="8" t="s">
        <v>331</v>
      </c>
    </row>
    <row r="260" spans="2:9" x14ac:dyDescent="0.3">
      <c r="B260" s="8" t="s">
        <v>741</v>
      </c>
      <c r="C260" s="8" t="s">
        <v>742</v>
      </c>
      <c r="D260" s="12">
        <v>0</v>
      </c>
      <c r="E260" s="12">
        <v>64</v>
      </c>
      <c r="F260" s="12">
        <v>0</v>
      </c>
      <c r="G260" s="12">
        <f t="shared" si="6"/>
        <v>64</v>
      </c>
      <c r="H260" s="12">
        <f t="shared" si="7"/>
        <v>64</v>
      </c>
      <c r="I260" s="8" t="s">
        <v>331</v>
      </c>
    </row>
    <row r="261" spans="2:9" x14ac:dyDescent="0.3">
      <c r="B261" s="8" t="s">
        <v>743</v>
      </c>
      <c r="C261" s="8" t="s">
        <v>744</v>
      </c>
      <c r="D261" s="12">
        <v>0</v>
      </c>
      <c r="E261" s="12">
        <v>950</v>
      </c>
      <c r="F261" s="12">
        <v>0</v>
      </c>
      <c r="G261" s="12">
        <f t="shared" si="6"/>
        <v>950</v>
      </c>
      <c r="H261" s="12">
        <f t="shared" si="7"/>
        <v>950</v>
      </c>
      <c r="I261" s="8" t="s">
        <v>331</v>
      </c>
    </row>
    <row r="262" spans="2:9" x14ac:dyDescent="0.3">
      <c r="B262" s="8" t="s">
        <v>693</v>
      </c>
      <c r="C262" s="8" t="s">
        <v>694</v>
      </c>
      <c r="D262" s="12">
        <v>7197.68</v>
      </c>
      <c r="E262" s="12">
        <v>5487.67</v>
      </c>
      <c r="F262" s="12">
        <v>0</v>
      </c>
      <c r="G262" s="12">
        <f t="shared" si="6"/>
        <v>5487.67</v>
      </c>
      <c r="H262" s="12">
        <f t="shared" si="7"/>
        <v>12685.35</v>
      </c>
      <c r="I262" s="8" t="s">
        <v>331</v>
      </c>
    </row>
    <row r="263" spans="2:9" x14ac:dyDescent="0.3">
      <c r="B263" s="8" t="s">
        <v>578</v>
      </c>
      <c r="C263" s="8" t="s">
        <v>579</v>
      </c>
      <c r="D263" s="12">
        <v>2506.52</v>
      </c>
      <c r="E263" s="12">
        <v>519.5</v>
      </c>
      <c r="F263" s="12">
        <v>0</v>
      </c>
      <c r="G263" s="12">
        <f t="shared" si="6"/>
        <v>519.5</v>
      </c>
      <c r="H263" s="12">
        <f t="shared" si="7"/>
        <v>3026.02</v>
      </c>
      <c r="I263" s="8" t="s">
        <v>331</v>
      </c>
    </row>
    <row r="264" spans="2:9" x14ac:dyDescent="0.3">
      <c r="B264" s="15" t="s">
        <v>354</v>
      </c>
      <c r="C264" s="15" t="s">
        <v>355</v>
      </c>
      <c r="D264" s="16"/>
      <c r="E264" s="16"/>
      <c r="F264" s="16"/>
      <c r="G264" s="16"/>
      <c r="H264" s="16"/>
      <c r="I264" s="15"/>
    </row>
    <row r="265" spans="2:9" x14ac:dyDescent="0.3">
      <c r="B265" s="8" t="s">
        <v>356</v>
      </c>
      <c r="C265" s="8" t="s">
        <v>357</v>
      </c>
      <c r="D265" s="12">
        <v>2743.96</v>
      </c>
      <c r="E265" s="12">
        <v>285</v>
      </c>
      <c r="F265" s="12">
        <v>0</v>
      </c>
      <c r="G265" s="12">
        <f t="shared" ref="G265:G327" si="8">E265-F265</f>
        <v>285</v>
      </c>
      <c r="H265" s="12">
        <f t="shared" ref="H265:H327" si="9">D265+G265</f>
        <v>3028.96</v>
      </c>
      <c r="I265" s="8" t="s">
        <v>358</v>
      </c>
    </row>
    <row r="266" spans="2:9" x14ac:dyDescent="0.3">
      <c r="B266" s="8" t="s">
        <v>359</v>
      </c>
      <c r="C266" s="8" t="s">
        <v>360</v>
      </c>
      <c r="D266" s="12">
        <v>5571</v>
      </c>
      <c r="E266" s="12">
        <v>1139</v>
      </c>
      <c r="F266" s="12">
        <v>0</v>
      </c>
      <c r="G266" s="12">
        <f t="shared" si="8"/>
        <v>1139</v>
      </c>
      <c r="H266" s="12">
        <f t="shared" si="9"/>
        <v>6710</v>
      </c>
      <c r="I266" s="8" t="s">
        <v>358</v>
      </c>
    </row>
    <row r="267" spans="2:9" x14ac:dyDescent="0.3">
      <c r="B267" s="8" t="s">
        <v>580</v>
      </c>
      <c r="C267" s="8" t="s">
        <v>581</v>
      </c>
      <c r="D267" s="12">
        <v>20</v>
      </c>
      <c r="E267" s="12">
        <v>0</v>
      </c>
      <c r="F267" s="12">
        <v>0</v>
      </c>
      <c r="G267" s="12">
        <f t="shared" si="8"/>
        <v>0</v>
      </c>
      <c r="H267" s="12">
        <f t="shared" si="9"/>
        <v>20</v>
      </c>
      <c r="I267" s="8" t="s">
        <v>358</v>
      </c>
    </row>
    <row r="268" spans="2:9" x14ac:dyDescent="0.3">
      <c r="B268" s="8" t="s">
        <v>361</v>
      </c>
      <c r="C268" s="8" t="s">
        <v>362</v>
      </c>
      <c r="D268" s="12">
        <v>1904.04</v>
      </c>
      <c r="E268" s="12">
        <v>70</v>
      </c>
      <c r="F268" s="12">
        <v>0</v>
      </c>
      <c r="G268" s="12">
        <f t="shared" si="8"/>
        <v>70</v>
      </c>
      <c r="H268" s="12">
        <f t="shared" si="9"/>
        <v>1974.04</v>
      </c>
      <c r="I268" s="8" t="s">
        <v>358</v>
      </c>
    </row>
    <row r="269" spans="2:9" x14ac:dyDescent="0.3">
      <c r="B269" s="8" t="s">
        <v>363</v>
      </c>
      <c r="C269" s="8" t="s">
        <v>364</v>
      </c>
      <c r="D269" s="12">
        <v>66250.53</v>
      </c>
      <c r="E269" s="12">
        <v>24466.63</v>
      </c>
      <c r="F269" s="12">
        <v>0</v>
      </c>
      <c r="G269" s="12">
        <f t="shared" si="8"/>
        <v>24466.63</v>
      </c>
      <c r="H269" s="12">
        <f t="shared" si="9"/>
        <v>90717.16</v>
      </c>
      <c r="I269" s="8" t="s">
        <v>358</v>
      </c>
    </row>
    <row r="270" spans="2:9" x14ac:dyDescent="0.3">
      <c r="B270" s="8" t="s">
        <v>365</v>
      </c>
      <c r="C270" s="8" t="s">
        <v>366</v>
      </c>
      <c r="D270" s="12">
        <v>1410.66</v>
      </c>
      <c r="E270" s="12">
        <v>511</v>
      </c>
      <c r="F270" s="12">
        <v>0</v>
      </c>
      <c r="G270" s="12">
        <f t="shared" si="8"/>
        <v>511</v>
      </c>
      <c r="H270" s="12">
        <f t="shared" si="9"/>
        <v>1921.66</v>
      </c>
      <c r="I270" s="8" t="s">
        <v>358</v>
      </c>
    </row>
    <row r="271" spans="2:9" x14ac:dyDescent="0.3">
      <c r="B271" s="8" t="s">
        <v>367</v>
      </c>
      <c r="C271" s="8" t="s">
        <v>368</v>
      </c>
      <c r="D271" s="12">
        <v>784.16</v>
      </c>
      <c r="E271" s="12">
        <v>0</v>
      </c>
      <c r="F271" s="12">
        <v>0</v>
      </c>
      <c r="G271" s="12">
        <f t="shared" si="8"/>
        <v>0</v>
      </c>
      <c r="H271" s="12">
        <f t="shared" si="9"/>
        <v>784.16</v>
      </c>
      <c r="I271" s="8" t="s">
        <v>358</v>
      </c>
    </row>
    <row r="272" spans="2:9" x14ac:dyDescent="0.3">
      <c r="B272" s="8" t="s">
        <v>745</v>
      </c>
      <c r="C272" s="8" t="s">
        <v>746</v>
      </c>
      <c r="D272" s="12">
        <v>0</v>
      </c>
      <c r="E272" s="12">
        <v>170</v>
      </c>
      <c r="F272" s="12">
        <v>0</v>
      </c>
      <c r="G272" s="12">
        <f t="shared" si="8"/>
        <v>170</v>
      </c>
      <c r="H272" s="12">
        <f t="shared" si="9"/>
        <v>170</v>
      </c>
      <c r="I272" s="8" t="s">
        <v>358</v>
      </c>
    </row>
    <row r="273" spans="2:9" x14ac:dyDescent="0.3">
      <c r="B273" s="15" t="s">
        <v>369</v>
      </c>
      <c r="C273" s="15" t="s">
        <v>370</v>
      </c>
      <c r="D273" s="16"/>
      <c r="E273" s="16"/>
      <c r="F273" s="16"/>
      <c r="G273" s="16"/>
      <c r="H273" s="16"/>
      <c r="I273" s="15"/>
    </row>
    <row r="274" spans="2:9" x14ac:dyDescent="0.3">
      <c r="B274" s="8" t="s">
        <v>582</v>
      </c>
      <c r="C274" s="8" t="s">
        <v>583</v>
      </c>
      <c r="D274" s="12">
        <v>333</v>
      </c>
      <c r="E274" s="12">
        <v>0</v>
      </c>
      <c r="F274" s="12">
        <v>0</v>
      </c>
      <c r="G274" s="12">
        <f t="shared" si="8"/>
        <v>0</v>
      </c>
      <c r="H274" s="12">
        <f t="shared" si="9"/>
        <v>333</v>
      </c>
      <c r="I274" s="8" t="s">
        <v>373</v>
      </c>
    </row>
    <row r="275" spans="2:9" x14ac:dyDescent="0.3">
      <c r="B275" s="8" t="s">
        <v>371</v>
      </c>
      <c r="C275" s="8" t="s">
        <v>372</v>
      </c>
      <c r="D275" s="12">
        <v>13669.41</v>
      </c>
      <c r="E275" s="12">
        <v>0</v>
      </c>
      <c r="F275" s="12">
        <v>0</v>
      </c>
      <c r="G275" s="12">
        <f t="shared" si="8"/>
        <v>0</v>
      </c>
      <c r="H275" s="12">
        <f t="shared" si="9"/>
        <v>13669.41</v>
      </c>
      <c r="I275" s="8" t="s">
        <v>373</v>
      </c>
    </row>
    <row r="276" spans="2:9" x14ac:dyDescent="0.3">
      <c r="B276" s="8" t="s">
        <v>374</v>
      </c>
      <c r="C276" s="8" t="s">
        <v>375</v>
      </c>
      <c r="D276" s="12">
        <v>1822.76</v>
      </c>
      <c r="E276" s="12">
        <v>439.13</v>
      </c>
      <c r="F276" s="12">
        <v>0</v>
      </c>
      <c r="G276" s="12">
        <f t="shared" si="8"/>
        <v>439.13</v>
      </c>
      <c r="H276" s="12">
        <f t="shared" si="9"/>
        <v>2261.89</v>
      </c>
      <c r="I276" s="8" t="s">
        <v>373</v>
      </c>
    </row>
    <row r="277" spans="2:9" x14ac:dyDescent="0.3">
      <c r="B277" s="8" t="s">
        <v>376</v>
      </c>
      <c r="C277" s="8" t="s">
        <v>377</v>
      </c>
      <c r="D277" s="12">
        <v>2087.12</v>
      </c>
      <c r="E277" s="12">
        <v>774.01</v>
      </c>
      <c r="F277" s="12">
        <v>0</v>
      </c>
      <c r="G277" s="12">
        <f t="shared" si="8"/>
        <v>774.01</v>
      </c>
      <c r="H277" s="12">
        <f t="shared" si="9"/>
        <v>2861.13</v>
      </c>
      <c r="I277" s="8" t="s">
        <v>373</v>
      </c>
    </row>
    <row r="278" spans="2:9" x14ac:dyDescent="0.3">
      <c r="B278" s="8" t="s">
        <v>378</v>
      </c>
      <c r="C278" s="8" t="s">
        <v>379</v>
      </c>
      <c r="D278" s="12">
        <v>1589.76</v>
      </c>
      <c r="E278" s="12">
        <v>340.91</v>
      </c>
      <c r="F278" s="12">
        <v>0</v>
      </c>
      <c r="G278" s="12">
        <f t="shared" si="8"/>
        <v>340.91</v>
      </c>
      <c r="H278" s="12">
        <f t="shared" si="9"/>
        <v>1930.67</v>
      </c>
      <c r="I278" s="8" t="s">
        <v>373</v>
      </c>
    </row>
    <row r="279" spans="2:9" x14ac:dyDescent="0.3">
      <c r="B279" s="8" t="s">
        <v>380</v>
      </c>
      <c r="C279" s="8" t="s">
        <v>381</v>
      </c>
      <c r="D279" s="12">
        <v>945.24</v>
      </c>
      <c r="E279" s="12">
        <v>244.36</v>
      </c>
      <c r="F279" s="12">
        <v>0</v>
      </c>
      <c r="G279" s="12">
        <f t="shared" si="8"/>
        <v>244.36</v>
      </c>
      <c r="H279" s="12">
        <f t="shared" si="9"/>
        <v>1189.5999999999999</v>
      </c>
      <c r="I279" s="8" t="s">
        <v>373</v>
      </c>
    </row>
    <row r="280" spans="2:9" x14ac:dyDescent="0.3">
      <c r="B280" s="8" t="s">
        <v>382</v>
      </c>
      <c r="C280" s="8" t="s">
        <v>383</v>
      </c>
      <c r="D280" s="12">
        <v>2389.65</v>
      </c>
      <c r="E280" s="12">
        <v>520.87</v>
      </c>
      <c r="F280" s="12">
        <v>0</v>
      </c>
      <c r="G280" s="12">
        <f t="shared" si="8"/>
        <v>520.87</v>
      </c>
      <c r="H280" s="12">
        <f t="shared" si="9"/>
        <v>2910.52</v>
      </c>
      <c r="I280" s="8" t="s">
        <v>373</v>
      </c>
    </row>
    <row r="281" spans="2:9" x14ac:dyDescent="0.3">
      <c r="B281" s="8" t="s">
        <v>384</v>
      </c>
      <c r="C281" s="8" t="s">
        <v>385</v>
      </c>
      <c r="D281" s="12">
        <v>5199.37</v>
      </c>
      <c r="E281" s="12">
        <v>1153.28</v>
      </c>
      <c r="F281" s="12">
        <v>0</v>
      </c>
      <c r="G281" s="12">
        <f t="shared" si="8"/>
        <v>1153.28</v>
      </c>
      <c r="H281" s="12">
        <f t="shared" si="9"/>
        <v>6352.65</v>
      </c>
      <c r="I281" s="8" t="s">
        <v>373</v>
      </c>
    </row>
    <row r="282" spans="2:9" x14ac:dyDescent="0.3">
      <c r="B282" s="8" t="s">
        <v>584</v>
      </c>
      <c r="C282" s="8" t="s">
        <v>585</v>
      </c>
      <c r="D282" s="12">
        <v>942.56</v>
      </c>
      <c r="E282" s="12">
        <v>434.48</v>
      </c>
      <c r="F282" s="12">
        <v>0</v>
      </c>
      <c r="G282" s="12">
        <f t="shared" si="8"/>
        <v>434.48</v>
      </c>
      <c r="H282" s="12">
        <f t="shared" si="9"/>
        <v>1377.04</v>
      </c>
      <c r="I282" s="8" t="s">
        <v>373</v>
      </c>
    </row>
    <row r="283" spans="2:9" x14ac:dyDescent="0.3">
      <c r="B283" s="8" t="s">
        <v>386</v>
      </c>
      <c r="C283" s="8" t="s">
        <v>387</v>
      </c>
      <c r="D283" s="12">
        <v>1042.75</v>
      </c>
      <c r="E283" s="12">
        <v>260.87</v>
      </c>
      <c r="F283" s="12">
        <v>0</v>
      </c>
      <c r="G283" s="12">
        <f t="shared" si="8"/>
        <v>260.87</v>
      </c>
      <c r="H283" s="12">
        <f t="shared" si="9"/>
        <v>1303.6199999999999</v>
      </c>
      <c r="I283" s="8" t="s">
        <v>373</v>
      </c>
    </row>
    <row r="284" spans="2:9" x14ac:dyDescent="0.3">
      <c r="B284" s="8" t="s">
        <v>586</v>
      </c>
      <c r="C284" s="8" t="s">
        <v>587</v>
      </c>
      <c r="D284" s="12">
        <v>3247.99</v>
      </c>
      <c r="E284" s="12">
        <v>0</v>
      </c>
      <c r="F284" s="12">
        <v>0</v>
      </c>
      <c r="G284" s="12">
        <f t="shared" si="8"/>
        <v>0</v>
      </c>
      <c r="H284" s="12">
        <f t="shared" si="9"/>
        <v>3247.99</v>
      </c>
      <c r="I284" s="8" t="s">
        <v>373</v>
      </c>
    </row>
    <row r="285" spans="2:9" x14ac:dyDescent="0.3">
      <c r="B285" s="8" t="s">
        <v>388</v>
      </c>
      <c r="C285" s="8" t="s">
        <v>389</v>
      </c>
      <c r="D285" s="12">
        <v>1736.92</v>
      </c>
      <c r="E285" s="12">
        <v>608.70000000000005</v>
      </c>
      <c r="F285" s="12">
        <v>0</v>
      </c>
      <c r="G285" s="12">
        <f t="shared" si="8"/>
        <v>608.70000000000005</v>
      </c>
      <c r="H285" s="12">
        <f t="shared" si="9"/>
        <v>2345.62</v>
      </c>
      <c r="I285" s="8" t="s">
        <v>373</v>
      </c>
    </row>
    <row r="286" spans="2:9" x14ac:dyDescent="0.3">
      <c r="B286" s="15" t="s">
        <v>390</v>
      </c>
      <c r="C286" s="15" t="s">
        <v>391</v>
      </c>
      <c r="D286" s="16"/>
      <c r="E286" s="16"/>
      <c r="F286" s="16"/>
      <c r="G286" s="16"/>
      <c r="H286" s="16"/>
      <c r="I286" s="15"/>
    </row>
    <row r="287" spans="2:9" x14ac:dyDescent="0.3">
      <c r="B287" s="8" t="s">
        <v>588</v>
      </c>
      <c r="C287" s="8" t="s">
        <v>589</v>
      </c>
      <c r="D287" s="12">
        <v>2957.4</v>
      </c>
      <c r="E287" s="12">
        <v>985.8</v>
      </c>
      <c r="F287" s="12">
        <v>0</v>
      </c>
      <c r="G287" s="12">
        <f t="shared" si="8"/>
        <v>985.8</v>
      </c>
      <c r="H287" s="12">
        <f t="shared" si="9"/>
        <v>3943.2</v>
      </c>
      <c r="I287" s="8" t="s">
        <v>394</v>
      </c>
    </row>
    <row r="288" spans="2:9" x14ac:dyDescent="0.3">
      <c r="B288" s="8" t="s">
        <v>747</v>
      </c>
      <c r="C288" s="8" t="s">
        <v>748</v>
      </c>
      <c r="D288" s="12">
        <v>0</v>
      </c>
      <c r="E288" s="12">
        <v>3420</v>
      </c>
      <c r="F288" s="12">
        <v>0</v>
      </c>
      <c r="G288" s="12">
        <f t="shared" si="8"/>
        <v>3420</v>
      </c>
      <c r="H288" s="12">
        <f t="shared" si="9"/>
        <v>3420</v>
      </c>
      <c r="I288" s="8" t="s">
        <v>394</v>
      </c>
    </row>
    <row r="289" spans="2:9" x14ac:dyDescent="0.3">
      <c r="B289" s="8" t="s">
        <v>638</v>
      </c>
      <c r="C289" s="8" t="s">
        <v>639</v>
      </c>
      <c r="D289" s="12">
        <v>3500</v>
      </c>
      <c r="E289" s="12">
        <v>0</v>
      </c>
      <c r="F289" s="12">
        <v>0</v>
      </c>
      <c r="G289" s="12">
        <f t="shared" si="8"/>
        <v>0</v>
      </c>
      <c r="H289" s="12">
        <f t="shared" si="9"/>
        <v>3500</v>
      </c>
      <c r="I289" s="8" t="s">
        <v>394</v>
      </c>
    </row>
    <row r="290" spans="2:9" x14ac:dyDescent="0.3">
      <c r="B290" s="8" t="s">
        <v>392</v>
      </c>
      <c r="C290" s="8" t="s">
        <v>393</v>
      </c>
      <c r="D290" s="12">
        <v>62008.44</v>
      </c>
      <c r="E290" s="12">
        <v>15502.11</v>
      </c>
      <c r="F290" s="12">
        <v>0</v>
      </c>
      <c r="G290" s="12">
        <f t="shared" si="8"/>
        <v>15502.11</v>
      </c>
      <c r="H290" s="12">
        <f t="shared" si="9"/>
        <v>77510.55</v>
      </c>
      <c r="I290" s="8" t="s">
        <v>394</v>
      </c>
    </row>
    <row r="291" spans="2:9" x14ac:dyDescent="0.3">
      <c r="B291" s="15" t="s">
        <v>395</v>
      </c>
      <c r="C291" s="15" t="s">
        <v>396</v>
      </c>
      <c r="D291" s="16"/>
      <c r="E291" s="16"/>
      <c r="F291" s="16"/>
      <c r="G291" s="16"/>
      <c r="H291" s="16"/>
      <c r="I291" s="15"/>
    </row>
    <row r="292" spans="2:9" x14ac:dyDescent="0.3">
      <c r="B292" s="8" t="s">
        <v>397</v>
      </c>
      <c r="C292" s="8" t="s">
        <v>398</v>
      </c>
      <c r="D292" s="12">
        <v>316867.01</v>
      </c>
      <c r="E292" s="12">
        <v>104746.62</v>
      </c>
      <c r="F292" s="12">
        <v>0</v>
      </c>
      <c r="G292" s="12">
        <f t="shared" si="8"/>
        <v>104746.62</v>
      </c>
      <c r="H292" s="12">
        <f t="shared" si="9"/>
        <v>421613.63</v>
      </c>
      <c r="I292" s="8" t="s">
        <v>399</v>
      </c>
    </row>
    <row r="293" spans="2:9" x14ac:dyDescent="0.3">
      <c r="B293" s="8" t="s">
        <v>400</v>
      </c>
      <c r="C293" s="8" t="s">
        <v>401</v>
      </c>
      <c r="D293" s="12">
        <v>230595.72</v>
      </c>
      <c r="E293" s="12">
        <v>38096</v>
      </c>
      <c r="F293" s="12">
        <v>0</v>
      </c>
      <c r="G293" s="12">
        <f t="shared" si="8"/>
        <v>38096</v>
      </c>
      <c r="H293" s="12">
        <f t="shared" si="9"/>
        <v>268691.71999999997</v>
      </c>
      <c r="I293" s="8" t="s">
        <v>399</v>
      </c>
    </row>
    <row r="294" spans="2:9" x14ac:dyDescent="0.3">
      <c r="B294" s="8" t="s">
        <v>402</v>
      </c>
      <c r="C294" s="8" t="s">
        <v>403</v>
      </c>
      <c r="D294" s="12">
        <v>1554.86</v>
      </c>
      <c r="E294" s="12">
        <v>304.32</v>
      </c>
      <c r="F294" s="12">
        <v>0</v>
      </c>
      <c r="G294" s="12">
        <f t="shared" si="8"/>
        <v>304.32</v>
      </c>
      <c r="H294" s="12">
        <f t="shared" si="9"/>
        <v>1859.1799999999998</v>
      </c>
      <c r="I294" s="8" t="s">
        <v>399</v>
      </c>
    </row>
    <row r="295" spans="2:9" x14ac:dyDescent="0.3">
      <c r="B295" s="8" t="s">
        <v>590</v>
      </c>
      <c r="C295" s="8" t="s">
        <v>591</v>
      </c>
      <c r="D295" s="12">
        <v>285</v>
      </c>
      <c r="E295" s="12">
        <v>327.5</v>
      </c>
      <c r="F295" s="12">
        <v>0</v>
      </c>
      <c r="G295" s="12">
        <f t="shared" si="8"/>
        <v>327.5</v>
      </c>
      <c r="H295" s="12">
        <f t="shared" si="9"/>
        <v>612.5</v>
      </c>
      <c r="I295" s="8" t="s">
        <v>399</v>
      </c>
    </row>
    <row r="296" spans="2:9" x14ac:dyDescent="0.3">
      <c r="B296" s="8" t="s">
        <v>404</v>
      </c>
      <c r="C296" s="8" t="s">
        <v>405</v>
      </c>
      <c r="D296" s="12">
        <v>2070</v>
      </c>
      <c r="E296" s="12">
        <v>1860</v>
      </c>
      <c r="F296" s="12">
        <v>0</v>
      </c>
      <c r="G296" s="12">
        <f t="shared" si="8"/>
        <v>1860</v>
      </c>
      <c r="H296" s="12">
        <f t="shared" si="9"/>
        <v>3930</v>
      </c>
      <c r="I296" s="8" t="s">
        <v>399</v>
      </c>
    </row>
    <row r="297" spans="2:9" x14ac:dyDescent="0.3">
      <c r="B297" s="8" t="s">
        <v>640</v>
      </c>
      <c r="C297" s="8" t="s">
        <v>641</v>
      </c>
      <c r="D297" s="12">
        <v>3973</v>
      </c>
      <c r="E297" s="12">
        <v>17200</v>
      </c>
      <c r="F297" s="12">
        <v>0</v>
      </c>
      <c r="G297" s="12">
        <f t="shared" si="8"/>
        <v>17200</v>
      </c>
      <c r="H297" s="12">
        <f t="shared" si="9"/>
        <v>21173</v>
      </c>
      <c r="I297" s="8" t="s">
        <v>399</v>
      </c>
    </row>
    <row r="298" spans="2:9" x14ac:dyDescent="0.3">
      <c r="B298" s="8" t="s">
        <v>749</v>
      </c>
      <c r="C298" s="8" t="s">
        <v>750</v>
      </c>
      <c r="D298" s="12">
        <v>0</v>
      </c>
      <c r="E298" s="12">
        <v>1200</v>
      </c>
      <c r="F298" s="12">
        <v>0</v>
      </c>
      <c r="G298" s="12">
        <f t="shared" si="8"/>
        <v>1200</v>
      </c>
      <c r="H298" s="12">
        <f t="shared" si="9"/>
        <v>1200</v>
      </c>
      <c r="I298" s="8" t="s">
        <v>399</v>
      </c>
    </row>
    <row r="299" spans="2:9" x14ac:dyDescent="0.3">
      <c r="B299" s="8" t="s">
        <v>592</v>
      </c>
      <c r="C299" s="8" t="s">
        <v>593</v>
      </c>
      <c r="D299" s="12">
        <v>375</v>
      </c>
      <c r="E299" s="12">
        <v>0</v>
      </c>
      <c r="F299" s="12">
        <v>0</v>
      </c>
      <c r="G299" s="12">
        <f t="shared" si="8"/>
        <v>0</v>
      </c>
      <c r="H299" s="12">
        <f t="shared" si="9"/>
        <v>375</v>
      </c>
      <c r="I299" s="8" t="s">
        <v>399</v>
      </c>
    </row>
    <row r="300" spans="2:9" x14ac:dyDescent="0.3">
      <c r="B300" s="8" t="s">
        <v>594</v>
      </c>
      <c r="C300" s="8" t="s">
        <v>595</v>
      </c>
      <c r="D300" s="12">
        <v>22</v>
      </c>
      <c r="E300" s="12">
        <v>0</v>
      </c>
      <c r="F300" s="12">
        <v>0</v>
      </c>
      <c r="G300" s="12">
        <f t="shared" si="8"/>
        <v>0</v>
      </c>
      <c r="H300" s="12">
        <f t="shared" si="9"/>
        <v>22</v>
      </c>
      <c r="I300" s="8" t="s">
        <v>399</v>
      </c>
    </row>
    <row r="301" spans="2:9" x14ac:dyDescent="0.3">
      <c r="B301" s="8" t="s">
        <v>406</v>
      </c>
      <c r="C301" s="8" t="s">
        <v>407</v>
      </c>
      <c r="D301" s="12">
        <v>4375.16</v>
      </c>
      <c r="E301" s="12">
        <v>1795.87</v>
      </c>
      <c r="F301" s="12">
        <v>0</v>
      </c>
      <c r="G301" s="12">
        <f t="shared" si="8"/>
        <v>1795.87</v>
      </c>
      <c r="H301" s="12">
        <f t="shared" si="9"/>
        <v>6171.03</v>
      </c>
      <c r="I301" s="8" t="s">
        <v>399</v>
      </c>
    </row>
    <row r="302" spans="2:9" x14ac:dyDescent="0.3">
      <c r="B302" s="15" t="s">
        <v>408</v>
      </c>
      <c r="C302" s="15" t="s">
        <v>409</v>
      </c>
      <c r="D302" s="16"/>
      <c r="E302" s="16"/>
      <c r="F302" s="16"/>
      <c r="G302" s="16"/>
      <c r="H302" s="16"/>
      <c r="I302" s="15"/>
    </row>
    <row r="303" spans="2:9" x14ac:dyDescent="0.3">
      <c r="B303" s="8" t="s">
        <v>751</v>
      </c>
      <c r="C303" s="8" t="s">
        <v>752</v>
      </c>
      <c r="D303" s="12">
        <v>0</v>
      </c>
      <c r="E303" s="12">
        <v>6.9</v>
      </c>
      <c r="F303" s="12">
        <v>0</v>
      </c>
      <c r="G303" s="12">
        <f t="shared" si="8"/>
        <v>6.9</v>
      </c>
      <c r="H303" s="12">
        <f t="shared" si="9"/>
        <v>6.9</v>
      </c>
      <c r="I303" s="8" t="s">
        <v>412</v>
      </c>
    </row>
    <row r="304" spans="2:9" x14ac:dyDescent="0.3">
      <c r="B304" s="8" t="s">
        <v>410</v>
      </c>
      <c r="C304" s="8" t="s">
        <v>411</v>
      </c>
      <c r="D304" s="12">
        <v>6573.63</v>
      </c>
      <c r="E304" s="12">
        <v>919</v>
      </c>
      <c r="F304" s="12">
        <v>0</v>
      </c>
      <c r="G304" s="12">
        <f t="shared" si="8"/>
        <v>919</v>
      </c>
      <c r="H304" s="12">
        <f t="shared" si="9"/>
        <v>7492.63</v>
      </c>
      <c r="I304" s="8" t="s">
        <v>412</v>
      </c>
    </row>
    <row r="305" spans="2:9" x14ac:dyDescent="0.3">
      <c r="B305" s="8" t="s">
        <v>753</v>
      </c>
      <c r="C305" s="8" t="s">
        <v>754</v>
      </c>
      <c r="D305" s="12">
        <v>0</v>
      </c>
      <c r="E305" s="12">
        <v>7500</v>
      </c>
      <c r="F305" s="12">
        <v>0</v>
      </c>
      <c r="G305" s="12">
        <f t="shared" si="8"/>
        <v>7500</v>
      </c>
      <c r="H305" s="12">
        <f t="shared" si="9"/>
        <v>7500</v>
      </c>
      <c r="I305" s="8" t="s">
        <v>412</v>
      </c>
    </row>
    <row r="306" spans="2:9" x14ac:dyDescent="0.3">
      <c r="B306" s="8" t="s">
        <v>695</v>
      </c>
      <c r="C306" s="8" t="s">
        <v>696</v>
      </c>
      <c r="D306" s="12">
        <v>700</v>
      </c>
      <c r="E306" s="12">
        <v>345</v>
      </c>
      <c r="F306" s="12">
        <v>0</v>
      </c>
      <c r="G306" s="12">
        <f t="shared" si="8"/>
        <v>345</v>
      </c>
      <c r="H306" s="12">
        <f t="shared" si="9"/>
        <v>1045</v>
      </c>
      <c r="I306" s="8" t="s">
        <v>412</v>
      </c>
    </row>
    <row r="307" spans="2:9" x14ac:dyDescent="0.3">
      <c r="B307" s="8" t="s">
        <v>413</v>
      </c>
      <c r="C307" s="8" t="s">
        <v>414</v>
      </c>
      <c r="D307" s="12">
        <v>6552.74</v>
      </c>
      <c r="E307" s="12">
        <v>0</v>
      </c>
      <c r="F307" s="12">
        <v>0</v>
      </c>
      <c r="G307" s="12">
        <f t="shared" si="8"/>
        <v>0</v>
      </c>
      <c r="H307" s="12">
        <f t="shared" si="9"/>
        <v>6552.74</v>
      </c>
      <c r="I307" s="8" t="s">
        <v>412</v>
      </c>
    </row>
    <row r="308" spans="2:9" x14ac:dyDescent="0.3">
      <c r="B308" s="8" t="s">
        <v>596</v>
      </c>
      <c r="C308" s="8" t="s">
        <v>597</v>
      </c>
      <c r="D308" s="12">
        <v>29000</v>
      </c>
      <c r="E308" s="12">
        <v>0</v>
      </c>
      <c r="F308" s="12">
        <v>0</v>
      </c>
      <c r="G308" s="12">
        <f t="shared" si="8"/>
        <v>0</v>
      </c>
      <c r="H308" s="12">
        <f t="shared" si="9"/>
        <v>29000</v>
      </c>
      <c r="I308" s="8" t="s">
        <v>412</v>
      </c>
    </row>
    <row r="309" spans="2:9" x14ac:dyDescent="0.3">
      <c r="B309" s="8" t="s">
        <v>598</v>
      </c>
      <c r="C309" s="8" t="s">
        <v>599</v>
      </c>
      <c r="D309" s="12">
        <v>5191.8</v>
      </c>
      <c r="E309" s="12">
        <v>575</v>
      </c>
      <c r="F309" s="12">
        <v>0</v>
      </c>
      <c r="G309" s="12">
        <f t="shared" si="8"/>
        <v>575</v>
      </c>
      <c r="H309" s="12">
        <f t="shared" si="9"/>
        <v>5766.8</v>
      </c>
      <c r="I309" s="8" t="s">
        <v>412</v>
      </c>
    </row>
    <row r="310" spans="2:9" x14ac:dyDescent="0.3">
      <c r="B310" s="8" t="s">
        <v>415</v>
      </c>
      <c r="C310" s="8" t="s">
        <v>416</v>
      </c>
      <c r="D310" s="12">
        <v>10333.32</v>
      </c>
      <c r="E310" s="12">
        <v>1100</v>
      </c>
      <c r="F310" s="12">
        <v>0</v>
      </c>
      <c r="G310" s="12">
        <f t="shared" si="8"/>
        <v>1100</v>
      </c>
      <c r="H310" s="12">
        <f t="shared" si="9"/>
        <v>11433.32</v>
      </c>
      <c r="I310" s="8" t="s">
        <v>412</v>
      </c>
    </row>
    <row r="311" spans="2:9" x14ac:dyDescent="0.3">
      <c r="B311" s="8" t="s">
        <v>642</v>
      </c>
      <c r="C311" s="8" t="s">
        <v>643</v>
      </c>
      <c r="D311" s="12">
        <v>7219.8</v>
      </c>
      <c r="E311" s="12">
        <v>0</v>
      </c>
      <c r="F311" s="12">
        <v>0</v>
      </c>
      <c r="G311" s="12">
        <f t="shared" si="8"/>
        <v>0</v>
      </c>
      <c r="H311" s="12">
        <f t="shared" si="9"/>
        <v>7219.8</v>
      </c>
      <c r="I311" s="8" t="s">
        <v>412</v>
      </c>
    </row>
    <row r="312" spans="2:9" x14ac:dyDescent="0.3">
      <c r="B312" s="8" t="s">
        <v>417</v>
      </c>
      <c r="C312" s="8" t="s">
        <v>418</v>
      </c>
      <c r="D312" s="12">
        <v>5984.89</v>
      </c>
      <c r="E312" s="12">
        <v>0</v>
      </c>
      <c r="F312" s="12">
        <v>1233.3399999999999</v>
      </c>
      <c r="G312" s="12">
        <f t="shared" si="8"/>
        <v>-1233.3399999999999</v>
      </c>
      <c r="H312" s="12">
        <f t="shared" si="9"/>
        <v>4751.55</v>
      </c>
      <c r="I312" s="8" t="s">
        <v>412</v>
      </c>
    </row>
    <row r="313" spans="2:9" x14ac:dyDescent="0.3">
      <c r="B313" s="15" t="s">
        <v>419</v>
      </c>
      <c r="C313" s="15" t="s">
        <v>420</v>
      </c>
      <c r="D313" s="16"/>
      <c r="E313" s="16"/>
      <c r="F313" s="16"/>
      <c r="G313" s="16"/>
      <c r="H313" s="16"/>
      <c r="I313" s="15"/>
    </row>
    <row r="314" spans="2:9" x14ac:dyDescent="0.3">
      <c r="B314" s="8" t="s">
        <v>421</v>
      </c>
      <c r="C314" s="8" t="s">
        <v>422</v>
      </c>
      <c r="D314" s="12">
        <v>217354.6</v>
      </c>
      <c r="E314" s="12">
        <v>58000</v>
      </c>
      <c r="F314" s="12">
        <v>0</v>
      </c>
      <c r="G314" s="12">
        <f t="shared" si="8"/>
        <v>58000</v>
      </c>
      <c r="H314" s="12">
        <f t="shared" si="9"/>
        <v>275354.59999999998</v>
      </c>
      <c r="I314" s="8" t="s">
        <v>423</v>
      </c>
    </row>
    <row r="315" spans="2:9" x14ac:dyDescent="0.3">
      <c r="B315" s="8" t="s">
        <v>600</v>
      </c>
      <c r="C315" s="8" t="s">
        <v>601</v>
      </c>
      <c r="D315" s="12">
        <v>500</v>
      </c>
      <c r="E315" s="12">
        <v>749.17</v>
      </c>
      <c r="F315" s="12">
        <v>0</v>
      </c>
      <c r="G315" s="12">
        <f t="shared" si="8"/>
        <v>749.17</v>
      </c>
      <c r="H315" s="12">
        <f t="shared" si="9"/>
        <v>1249.17</v>
      </c>
      <c r="I315" s="8" t="s">
        <v>423</v>
      </c>
    </row>
    <row r="316" spans="2:9" x14ac:dyDescent="0.3">
      <c r="B316" s="8" t="s">
        <v>424</v>
      </c>
      <c r="C316" s="8" t="s">
        <v>425</v>
      </c>
      <c r="D316" s="12">
        <v>342.7</v>
      </c>
      <c r="E316" s="12">
        <v>56</v>
      </c>
      <c r="F316" s="12">
        <v>0</v>
      </c>
      <c r="G316" s="12">
        <f t="shared" si="8"/>
        <v>56</v>
      </c>
      <c r="H316" s="12">
        <f t="shared" si="9"/>
        <v>398.7</v>
      </c>
      <c r="I316" s="8" t="s">
        <v>423</v>
      </c>
    </row>
    <row r="317" spans="2:9" x14ac:dyDescent="0.3">
      <c r="B317" s="8" t="s">
        <v>426</v>
      </c>
      <c r="C317" s="8" t="s">
        <v>427</v>
      </c>
      <c r="D317" s="12">
        <v>15859.66</v>
      </c>
      <c r="E317" s="12">
        <v>10093.4</v>
      </c>
      <c r="F317" s="12">
        <v>0</v>
      </c>
      <c r="G317" s="12">
        <f t="shared" si="8"/>
        <v>10093.4</v>
      </c>
      <c r="H317" s="12">
        <f t="shared" si="9"/>
        <v>25953.059999999998</v>
      </c>
      <c r="I317" s="8" t="s">
        <v>423</v>
      </c>
    </row>
    <row r="318" spans="2:9" x14ac:dyDescent="0.3">
      <c r="B318" s="8" t="s">
        <v>428</v>
      </c>
      <c r="C318" s="8" t="s">
        <v>429</v>
      </c>
      <c r="D318" s="12">
        <v>6902.24</v>
      </c>
      <c r="E318" s="12">
        <v>1443.91</v>
      </c>
      <c r="F318" s="12">
        <v>0</v>
      </c>
      <c r="G318" s="12">
        <f t="shared" si="8"/>
        <v>1443.91</v>
      </c>
      <c r="H318" s="12">
        <f t="shared" si="9"/>
        <v>8346.15</v>
      </c>
      <c r="I318" s="8" t="s">
        <v>423</v>
      </c>
    </row>
    <row r="319" spans="2:9" x14ac:dyDescent="0.3">
      <c r="B319" s="15" t="s">
        <v>755</v>
      </c>
      <c r="C319" s="15" t="s">
        <v>756</v>
      </c>
      <c r="D319" s="16"/>
      <c r="E319" s="16"/>
      <c r="F319" s="16"/>
      <c r="G319" s="16"/>
      <c r="H319" s="16"/>
      <c r="I319" s="15"/>
    </row>
    <row r="320" spans="2:9" x14ac:dyDescent="0.3">
      <c r="B320" s="8" t="s">
        <v>757</v>
      </c>
      <c r="C320" s="8" t="s">
        <v>758</v>
      </c>
      <c r="D320" s="12">
        <v>0</v>
      </c>
      <c r="E320" s="12">
        <v>390</v>
      </c>
      <c r="F320" s="12">
        <v>0</v>
      </c>
      <c r="G320" s="12">
        <f t="shared" si="8"/>
        <v>390</v>
      </c>
      <c r="H320" s="12">
        <f t="shared" si="9"/>
        <v>390</v>
      </c>
      <c r="I320" s="8" t="s">
        <v>759</v>
      </c>
    </row>
    <row r="321" spans="1:9" x14ac:dyDescent="0.3">
      <c r="B321" s="15" t="s">
        <v>602</v>
      </c>
      <c r="C321" s="15" t="s">
        <v>603</v>
      </c>
      <c r="D321" s="16"/>
      <c r="E321" s="16"/>
      <c r="F321" s="16"/>
      <c r="G321" s="16"/>
      <c r="H321" s="16"/>
      <c r="I321" s="15"/>
    </row>
    <row r="322" spans="1:9" x14ac:dyDescent="0.3">
      <c r="B322" s="8" t="s">
        <v>604</v>
      </c>
      <c r="C322" s="8" t="s">
        <v>605</v>
      </c>
      <c r="D322" s="12">
        <v>4688</v>
      </c>
      <c r="E322" s="12">
        <v>5625</v>
      </c>
      <c r="F322" s="12">
        <v>0</v>
      </c>
      <c r="G322" s="12">
        <f t="shared" si="8"/>
        <v>5625</v>
      </c>
      <c r="H322" s="12">
        <f t="shared" si="9"/>
        <v>10313</v>
      </c>
      <c r="I322" s="8" t="s">
        <v>606</v>
      </c>
    </row>
    <row r="323" spans="1:9" x14ac:dyDescent="0.3">
      <c r="B323" s="15" t="s">
        <v>697</v>
      </c>
      <c r="C323" s="15" t="s">
        <v>698</v>
      </c>
      <c r="D323" s="16"/>
      <c r="E323" s="16"/>
      <c r="F323" s="16"/>
      <c r="G323" s="16"/>
      <c r="H323" s="16"/>
      <c r="I323" s="15"/>
    </row>
    <row r="324" spans="1:9" x14ac:dyDescent="0.3">
      <c r="B324" s="8" t="s">
        <v>699</v>
      </c>
      <c r="C324" s="8" t="s">
        <v>700</v>
      </c>
      <c r="D324" s="12">
        <v>308</v>
      </c>
      <c r="E324" s="12">
        <v>72</v>
      </c>
      <c r="F324" s="12">
        <v>0</v>
      </c>
      <c r="G324" s="12">
        <f t="shared" si="8"/>
        <v>72</v>
      </c>
      <c r="H324" s="12">
        <f t="shared" si="9"/>
        <v>380</v>
      </c>
      <c r="I324" s="8" t="s">
        <v>701</v>
      </c>
    </row>
    <row r="325" spans="1:9" x14ac:dyDescent="0.3">
      <c r="B325" s="15" t="s">
        <v>430</v>
      </c>
      <c r="C325" s="15" t="s">
        <v>431</v>
      </c>
      <c r="D325" s="16"/>
      <c r="E325" s="16"/>
      <c r="F325" s="16"/>
      <c r="G325" s="16"/>
      <c r="H325" s="16"/>
      <c r="I325" s="15"/>
    </row>
    <row r="326" spans="1:9" x14ac:dyDescent="0.3">
      <c r="B326" s="8" t="s">
        <v>432</v>
      </c>
      <c r="C326" s="8" t="s">
        <v>433</v>
      </c>
      <c r="D326" s="12">
        <v>7.51</v>
      </c>
      <c r="E326" s="12">
        <v>0.35</v>
      </c>
      <c r="F326" s="12">
        <v>0.5</v>
      </c>
      <c r="G326" s="12">
        <f t="shared" si="8"/>
        <v>-0.15000000000000002</v>
      </c>
      <c r="H326" s="12">
        <f t="shared" si="9"/>
        <v>7.3599999999999994</v>
      </c>
      <c r="I326" s="8" t="s">
        <v>434</v>
      </c>
    </row>
    <row r="327" spans="1:9" x14ac:dyDescent="0.3">
      <c r="B327" s="8" t="s">
        <v>607</v>
      </c>
      <c r="C327" s="8" t="s">
        <v>608</v>
      </c>
      <c r="D327" s="12">
        <v>406.69</v>
      </c>
      <c r="E327" s="12">
        <v>0</v>
      </c>
      <c r="F327" s="12">
        <v>0</v>
      </c>
      <c r="G327" s="12">
        <f t="shared" si="8"/>
        <v>0</v>
      </c>
      <c r="H327" s="12">
        <f t="shared" si="9"/>
        <v>406.69</v>
      </c>
      <c r="I327" s="8" t="s">
        <v>434</v>
      </c>
    </row>
    <row r="328" spans="1:9" x14ac:dyDescent="0.3">
      <c r="B328" s="15" t="s">
        <v>435</v>
      </c>
      <c r="C328" s="15" t="s">
        <v>436</v>
      </c>
      <c r="D328" s="16"/>
      <c r="E328" s="16"/>
      <c r="F328" s="16"/>
      <c r="G328" s="16"/>
      <c r="H328" s="16"/>
      <c r="I328" s="15"/>
    </row>
    <row r="329" spans="1:9" x14ac:dyDescent="0.3">
      <c r="B329" s="8" t="s">
        <v>437</v>
      </c>
      <c r="C329" s="8" t="s">
        <v>438</v>
      </c>
      <c r="D329" s="12">
        <v>930.35</v>
      </c>
      <c r="E329" s="12">
        <v>139.43</v>
      </c>
      <c r="F329" s="12">
        <v>0</v>
      </c>
      <c r="G329" s="12">
        <f t="shared" ref="G329" si="10">E329-F329</f>
        <v>139.43</v>
      </c>
      <c r="H329" s="12">
        <f t="shared" ref="H329" si="11">D329+G329</f>
        <v>1069.78</v>
      </c>
      <c r="I329" s="8" t="s">
        <v>439</v>
      </c>
    </row>
    <row r="330" spans="1:9" x14ac:dyDescent="0.3">
      <c r="B330" s="15" t="s">
        <v>440</v>
      </c>
      <c r="C330" s="15" t="s">
        <v>441</v>
      </c>
      <c r="D330" s="16">
        <f t="shared" ref="D330" si="12">SUM(D8:D329)</f>
        <v>2.3908341972855851E-10</v>
      </c>
      <c r="E330" s="16">
        <f>SUM(E8:E329)</f>
        <v>12219884.229999997</v>
      </c>
      <c r="F330" s="16">
        <f t="shared" ref="F330:H330" si="13">SUM(F8:F329)</f>
        <v>12219884.229999997</v>
      </c>
      <c r="G330" s="16">
        <f t="shared" si="13"/>
        <v>-1.8619061847857665E-10</v>
      </c>
      <c r="H330" s="16">
        <f t="shared" si="13"/>
        <v>-1.2623786460608244E-9</v>
      </c>
      <c r="I330" s="15"/>
    </row>
    <row r="331" spans="1:9" x14ac:dyDescent="0.3">
      <c r="B331" s="2"/>
      <c r="C331" s="2"/>
      <c r="D331" s="10"/>
      <c r="E331" s="10"/>
      <c r="F331" s="10"/>
      <c r="G331" s="10"/>
      <c r="H331" s="10"/>
      <c r="I331" s="2"/>
    </row>
    <row r="332" spans="1:9" ht="15" thickBot="1" x14ac:dyDescent="0.35">
      <c r="A332" s="1"/>
      <c r="B332" s="4"/>
      <c r="C332" s="4"/>
      <c r="D332" s="13"/>
      <c r="E332" s="13">
        <v>12219884.24</v>
      </c>
      <c r="F332" s="13">
        <v>12219884.24</v>
      </c>
      <c r="G332" s="13"/>
      <c r="H332" s="13"/>
      <c r="I332" s="4"/>
    </row>
    <row r="333" spans="1:9" x14ac:dyDescent="0.3">
      <c r="B333" s="2"/>
      <c r="C333" s="2"/>
      <c r="D333" s="10"/>
      <c r="E333" s="10">
        <f>E330-E332</f>
        <v>-1.0000003501772881E-2</v>
      </c>
      <c r="F333" s="10">
        <f>F330-F332</f>
        <v>-1.0000003501772881E-2</v>
      </c>
      <c r="G333" s="10"/>
      <c r="H333" s="10"/>
      <c r="I333" s="2"/>
    </row>
  </sheetData>
  <autoFilter ref="B7:I330" xr:uid="{470F8DB4-2983-4561-A016-8D2A53123F58}"/>
  <mergeCells count="3">
    <mergeCell ref="B1:I1"/>
    <mergeCell ref="B2:I2"/>
    <mergeCell ref="B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Jan-26</vt:lpstr>
      <vt:lpstr>Feb-26</vt:lpstr>
      <vt:lpstr>Mar-26</vt:lpstr>
      <vt:lpstr>Apr-26</vt:lpstr>
      <vt:lpstr>May-26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Diamond Star</dc:creator>
  <cp:lastModifiedBy>Okasha Akhtar</cp:lastModifiedBy>
  <dcterms:created xsi:type="dcterms:W3CDTF">2026-06-28T09:45:06Z</dcterms:created>
  <dcterms:modified xsi:type="dcterms:W3CDTF">2026-06-28T13:37:38Z</dcterms:modified>
</cp:coreProperties>
</file>