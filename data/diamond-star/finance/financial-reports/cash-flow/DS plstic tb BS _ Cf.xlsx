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sheed-DSAA\IT  software\ODO sotware\Reports\"/>
    </mc:Choice>
  </mc:AlternateContent>
  <xr:revisionPtr revIDLastSave="0" documentId="13_ncr:1_{5AF433E4-6309-4B7F-A5D9-658F2E10F121}" xr6:coauthVersionLast="47" xr6:coauthVersionMax="47" xr10:uidLastSave="{00000000-0000-0000-0000-000000000000}"/>
  <bookViews>
    <workbookView xWindow="-108" yWindow="-108" windowWidth="23256" windowHeight="12456" xr2:uid="{BD2C32CE-A735-4C56-B6A8-81EC56F9634D}"/>
  </bookViews>
  <sheets>
    <sheet name="trial" sheetId="1" r:id="rId1"/>
    <sheet name="bs and cf" sheetId="2" r:id="rId2"/>
  </sheets>
  <externalReferences>
    <externalReference r:id="rId3"/>
  </externalReferences>
  <definedNames>
    <definedName name="_xlnm._FilterDatabase" localSheetId="0" hidden="1">trial!$B$5:$H$360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" l="1"/>
  <c r="D39" i="2"/>
  <c r="D40" i="2"/>
  <c r="J37" i="2" s="1"/>
  <c r="J42" i="2" s="1"/>
  <c r="D41" i="2"/>
  <c r="J20" i="2" s="1"/>
  <c r="D37" i="2"/>
  <c r="D33" i="2"/>
  <c r="J13" i="2" s="1"/>
  <c r="D32" i="2"/>
  <c r="D31" i="2"/>
  <c r="D26" i="2"/>
  <c r="D25" i="2"/>
  <c r="D24" i="2"/>
  <c r="D19" i="2"/>
  <c r="D18" i="2"/>
  <c r="J33" i="2" s="1"/>
  <c r="D16" i="2"/>
  <c r="J18" i="2" s="1"/>
  <c r="D17" i="2"/>
  <c r="J19" i="2" s="1"/>
  <c r="D15" i="2"/>
  <c r="J17" i="2" s="1"/>
  <c r="D14" i="2"/>
  <c r="J16" i="2" s="1"/>
  <c r="D8" i="2"/>
  <c r="D9" i="2"/>
  <c r="D10" i="2"/>
  <c r="D7" i="2"/>
  <c r="E360" i="1"/>
  <c r="F360" i="1"/>
  <c r="D360" i="1"/>
  <c r="G8" i="1"/>
  <c r="H8" i="1"/>
  <c r="G9" i="1"/>
  <c r="H9" i="1" s="1"/>
  <c r="G10" i="1"/>
  <c r="H10" i="1"/>
  <c r="G11" i="1"/>
  <c r="H11" i="1" s="1"/>
  <c r="G12" i="1"/>
  <c r="H12" i="1"/>
  <c r="G13" i="1"/>
  <c r="H13" i="1" s="1"/>
  <c r="G14" i="1"/>
  <c r="H14" i="1" s="1"/>
  <c r="G15" i="1"/>
  <c r="H15" i="1"/>
  <c r="G16" i="1"/>
  <c r="H16" i="1" s="1"/>
  <c r="G17" i="1"/>
  <c r="H17" i="1" s="1"/>
  <c r="G18" i="1"/>
  <c r="H18" i="1"/>
  <c r="G19" i="1"/>
  <c r="H19" i="1"/>
  <c r="G20" i="1"/>
  <c r="H20" i="1" s="1"/>
  <c r="G21" i="1"/>
  <c r="H21" i="1" s="1"/>
  <c r="G22" i="1"/>
  <c r="H22" i="1"/>
  <c r="G23" i="1"/>
  <c r="H23" i="1" s="1"/>
  <c r="G24" i="1"/>
  <c r="H24" i="1"/>
  <c r="G25" i="1"/>
  <c r="H25" i="1" s="1"/>
  <c r="G26" i="1"/>
  <c r="H26" i="1"/>
  <c r="G27" i="1"/>
  <c r="H27" i="1"/>
  <c r="G28" i="1"/>
  <c r="H28" i="1" s="1"/>
  <c r="G29" i="1"/>
  <c r="H29" i="1" s="1"/>
  <c r="G30" i="1"/>
  <c r="H30" i="1"/>
  <c r="G31" i="1"/>
  <c r="H31" i="1"/>
  <c r="G32" i="1"/>
  <c r="H32" i="1" s="1"/>
  <c r="G33" i="1"/>
  <c r="H33" i="1" s="1"/>
  <c r="G34" i="1"/>
  <c r="H34" i="1" s="1"/>
  <c r="G35" i="1"/>
  <c r="H35" i="1"/>
  <c r="G36" i="1"/>
  <c r="H36" i="1"/>
  <c r="G37" i="1"/>
  <c r="H37" i="1" s="1"/>
  <c r="G38" i="1"/>
  <c r="H38" i="1"/>
  <c r="G39" i="1"/>
  <c r="H39" i="1"/>
  <c r="G40" i="1"/>
  <c r="H40" i="1"/>
  <c r="G41" i="1"/>
  <c r="H41" i="1" s="1"/>
  <c r="G42" i="1"/>
  <c r="H42" i="1" s="1"/>
  <c r="G43" i="1"/>
  <c r="H43" i="1" s="1"/>
  <c r="G44" i="1"/>
  <c r="H44" i="1"/>
  <c r="G45" i="1"/>
  <c r="H45" i="1" s="1"/>
  <c r="G46" i="1"/>
  <c r="H46" i="1" s="1"/>
  <c r="G47" i="1"/>
  <c r="H47" i="1"/>
  <c r="G48" i="1"/>
  <c r="H48" i="1" s="1"/>
  <c r="G49" i="1"/>
  <c r="H49" i="1" s="1"/>
  <c r="G50" i="1"/>
  <c r="H50" i="1"/>
  <c r="G51" i="1"/>
  <c r="H51" i="1"/>
  <c r="G52" i="1"/>
  <c r="H52" i="1" s="1"/>
  <c r="G53" i="1"/>
  <c r="H53" i="1" s="1"/>
  <c r="G54" i="1"/>
  <c r="H54" i="1"/>
  <c r="G55" i="1"/>
  <c r="H55" i="1" s="1"/>
  <c r="G56" i="1"/>
  <c r="H56" i="1"/>
  <c r="G57" i="1"/>
  <c r="H57" i="1" s="1"/>
  <c r="G58" i="1"/>
  <c r="H58" i="1"/>
  <c r="G59" i="1"/>
  <c r="H59" i="1"/>
  <c r="G60" i="1"/>
  <c r="H60" i="1" s="1"/>
  <c r="G61" i="1"/>
  <c r="H61" i="1" s="1"/>
  <c r="G62" i="1"/>
  <c r="H62" i="1" s="1"/>
  <c r="G63" i="1"/>
  <c r="H63" i="1"/>
  <c r="G64" i="1"/>
  <c r="H64" i="1" s="1"/>
  <c r="G65" i="1"/>
  <c r="H65" i="1" s="1"/>
  <c r="G66" i="1"/>
  <c r="H66" i="1" s="1"/>
  <c r="G67" i="1"/>
  <c r="H67" i="1"/>
  <c r="G68" i="1"/>
  <c r="H68" i="1"/>
  <c r="G69" i="1"/>
  <c r="H69" i="1" s="1"/>
  <c r="G70" i="1"/>
  <c r="H70" i="1" s="1"/>
  <c r="G71" i="1"/>
  <c r="H71" i="1" s="1"/>
  <c r="G72" i="1"/>
  <c r="H72" i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/>
  <c r="G87" i="1"/>
  <c r="H87" i="1" s="1"/>
  <c r="G88" i="1"/>
  <c r="H88" i="1" s="1"/>
  <c r="G89" i="1"/>
  <c r="H89" i="1" s="1"/>
  <c r="G90" i="1"/>
  <c r="H90" i="1"/>
  <c r="G91" i="1"/>
  <c r="H91" i="1"/>
  <c r="G92" i="1"/>
  <c r="H92" i="1"/>
  <c r="G93" i="1"/>
  <c r="H93" i="1" s="1"/>
  <c r="G94" i="1"/>
  <c r="H94" i="1" s="1"/>
  <c r="G95" i="1"/>
  <c r="H95" i="1"/>
  <c r="G96" i="1"/>
  <c r="H96" i="1" s="1"/>
  <c r="G97" i="1"/>
  <c r="H97" i="1" s="1"/>
  <c r="G98" i="1"/>
  <c r="H98" i="1" s="1"/>
  <c r="G99" i="1"/>
  <c r="H99" i="1" s="1"/>
  <c r="G100" i="1"/>
  <c r="H100" i="1"/>
  <c r="G101" i="1"/>
  <c r="H101" i="1" s="1"/>
  <c r="G102" i="1"/>
  <c r="H102" i="1"/>
  <c r="G103" i="1"/>
  <c r="H103" i="1" s="1"/>
  <c r="G104" i="1"/>
  <c r="H104" i="1" s="1"/>
  <c r="G105" i="1"/>
  <c r="H105" i="1" s="1"/>
  <c r="G106" i="1"/>
  <c r="H106" i="1"/>
  <c r="G107" i="1"/>
  <c r="H107" i="1" s="1"/>
  <c r="G108" i="1"/>
  <c r="H108" i="1"/>
  <c r="G109" i="1"/>
  <c r="H109" i="1" s="1"/>
  <c r="G110" i="1"/>
  <c r="H110" i="1" s="1"/>
  <c r="G111" i="1"/>
  <c r="H111" i="1"/>
  <c r="G112" i="1"/>
  <c r="H112" i="1" s="1"/>
  <c r="G113" i="1"/>
  <c r="H113" i="1" s="1"/>
  <c r="G114" i="1"/>
  <c r="H114" i="1"/>
  <c r="G115" i="1"/>
  <c r="H115" i="1" s="1"/>
  <c r="G116" i="1"/>
  <c r="H116" i="1" s="1"/>
  <c r="G117" i="1"/>
  <c r="H117" i="1" s="1"/>
  <c r="G118" i="1"/>
  <c r="H118" i="1"/>
  <c r="G119" i="1"/>
  <c r="H119" i="1" s="1"/>
  <c r="G120" i="1"/>
  <c r="H120" i="1"/>
  <c r="G121" i="1"/>
  <c r="H121" i="1" s="1"/>
  <c r="G122" i="1"/>
  <c r="H122" i="1"/>
  <c r="G123" i="1"/>
  <c r="H123" i="1"/>
  <c r="G124" i="1"/>
  <c r="H124" i="1"/>
  <c r="G125" i="1"/>
  <c r="H125" i="1" s="1"/>
  <c r="G126" i="1"/>
  <c r="H126" i="1" s="1"/>
  <c r="G127" i="1"/>
  <c r="H127" i="1"/>
  <c r="G128" i="1"/>
  <c r="H128" i="1" s="1"/>
  <c r="G129" i="1"/>
  <c r="H129" i="1" s="1"/>
  <c r="G130" i="1"/>
  <c r="H130" i="1" s="1"/>
  <c r="G131" i="1"/>
  <c r="H131" i="1"/>
  <c r="G132" i="1"/>
  <c r="H132" i="1"/>
  <c r="G133" i="1"/>
  <c r="H133" i="1" s="1"/>
  <c r="G134" i="1"/>
  <c r="H134" i="1"/>
  <c r="G135" i="1"/>
  <c r="H135" i="1" s="1"/>
  <c r="G136" i="1"/>
  <c r="H136" i="1"/>
  <c r="G137" i="1"/>
  <c r="H137" i="1" s="1"/>
  <c r="G138" i="1"/>
  <c r="H138" i="1" s="1"/>
  <c r="G139" i="1"/>
  <c r="H139" i="1" s="1"/>
  <c r="G140" i="1"/>
  <c r="H140" i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/>
  <c r="G147" i="1"/>
  <c r="H147" i="1" s="1"/>
  <c r="G148" i="1"/>
  <c r="H148" i="1" s="1"/>
  <c r="G149" i="1"/>
  <c r="H149" i="1" s="1"/>
  <c r="G150" i="1"/>
  <c r="H150" i="1"/>
  <c r="G151" i="1"/>
  <c r="H151" i="1" s="1"/>
  <c r="G152" i="1"/>
  <c r="H152" i="1"/>
  <c r="G153" i="1"/>
  <c r="H153" i="1" s="1"/>
  <c r="G154" i="1"/>
  <c r="H154" i="1"/>
  <c r="G155" i="1"/>
  <c r="H155" i="1" s="1"/>
  <c r="G156" i="1"/>
  <c r="H156" i="1"/>
  <c r="G157" i="1"/>
  <c r="H157" i="1" s="1"/>
  <c r="G158" i="1"/>
  <c r="H158" i="1"/>
  <c r="G159" i="1"/>
  <c r="H159" i="1" s="1"/>
  <c r="G160" i="1"/>
  <c r="H160" i="1" s="1"/>
  <c r="G161" i="1"/>
  <c r="H161" i="1" s="1"/>
  <c r="G162" i="1"/>
  <c r="H162" i="1"/>
  <c r="G163" i="1"/>
  <c r="H163" i="1" s="1"/>
  <c r="G164" i="1"/>
  <c r="H164" i="1"/>
  <c r="G165" i="1"/>
  <c r="H165" i="1" s="1"/>
  <c r="G166" i="1"/>
  <c r="H166" i="1"/>
  <c r="G167" i="1"/>
  <c r="H167" i="1" s="1"/>
  <c r="G168" i="1"/>
  <c r="H168" i="1"/>
  <c r="G169" i="1"/>
  <c r="H169" i="1" s="1"/>
  <c r="G170" i="1"/>
  <c r="H170" i="1"/>
  <c r="G171" i="1"/>
  <c r="H171" i="1" s="1"/>
  <c r="G172" i="1"/>
  <c r="H172" i="1"/>
  <c r="G173" i="1"/>
  <c r="H173" i="1" s="1"/>
  <c r="G174" i="1"/>
  <c r="H174" i="1"/>
  <c r="G175" i="1"/>
  <c r="H175" i="1" s="1"/>
  <c r="G176" i="1"/>
  <c r="H176" i="1" s="1"/>
  <c r="G177" i="1"/>
  <c r="H177" i="1" s="1"/>
  <c r="G178" i="1"/>
  <c r="H178" i="1"/>
  <c r="G179" i="1"/>
  <c r="H179" i="1" s="1"/>
  <c r="G180" i="1"/>
  <c r="H180" i="1"/>
  <c r="G181" i="1"/>
  <c r="H181" i="1" s="1"/>
  <c r="G182" i="1"/>
  <c r="H182" i="1"/>
  <c r="G183" i="1"/>
  <c r="H183" i="1" s="1"/>
  <c r="G184" i="1"/>
  <c r="H184" i="1"/>
  <c r="G185" i="1"/>
  <c r="H185" i="1" s="1"/>
  <c r="G186" i="1"/>
  <c r="H186" i="1"/>
  <c r="G187" i="1"/>
  <c r="H187" i="1" s="1"/>
  <c r="G188" i="1"/>
  <c r="H188" i="1"/>
  <c r="G189" i="1"/>
  <c r="H189" i="1" s="1"/>
  <c r="G190" i="1"/>
  <c r="H190" i="1"/>
  <c r="G191" i="1"/>
  <c r="H191" i="1" s="1"/>
  <c r="G192" i="1"/>
  <c r="H192" i="1" s="1"/>
  <c r="G193" i="1"/>
  <c r="H193" i="1" s="1"/>
  <c r="G194" i="1"/>
  <c r="H194" i="1"/>
  <c r="G195" i="1"/>
  <c r="H195" i="1" s="1"/>
  <c r="G196" i="1"/>
  <c r="H196" i="1"/>
  <c r="G197" i="1"/>
  <c r="H197" i="1" s="1"/>
  <c r="G198" i="1"/>
  <c r="H198" i="1"/>
  <c r="G199" i="1"/>
  <c r="H199" i="1" s="1"/>
  <c r="G200" i="1"/>
  <c r="H200" i="1"/>
  <c r="G201" i="1"/>
  <c r="H201" i="1" s="1"/>
  <c r="G202" i="1"/>
  <c r="H202" i="1"/>
  <c r="G203" i="1"/>
  <c r="H203" i="1" s="1"/>
  <c r="G204" i="1"/>
  <c r="H204" i="1"/>
  <c r="G205" i="1"/>
  <c r="H205" i="1" s="1"/>
  <c r="G206" i="1"/>
  <c r="H206" i="1"/>
  <c r="G207" i="1"/>
  <c r="H207" i="1" s="1"/>
  <c r="G208" i="1"/>
  <c r="H208" i="1" s="1"/>
  <c r="G209" i="1"/>
  <c r="H209" i="1" s="1"/>
  <c r="G210" i="1"/>
  <c r="H210" i="1"/>
  <c r="G211" i="1"/>
  <c r="H211" i="1" s="1"/>
  <c r="G212" i="1"/>
  <c r="H212" i="1"/>
  <c r="D42" i="2" s="1"/>
  <c r="J21" i="2" s="1"/>
  <c r="G213" i="1"/>
  <c r="H213" i="1" s="1"/>
  <c r="G214" i="1"/>
  <c r="H214" i="1"/>
  <c r="G215" i="1"/>
  <c r="H215" i="1" s="1"/>
  <c r="G216" i="1"/>
  <c r="H216" i="1"/>
  <c r="G217" i="1"/>
  <c r="H217" i="1" s="1"/>
  <c r="G218" i="1"/>
  <c r="H218" i="1"/>
  <c r="G219" i="1"/>
  <c r="H219" i="1" s="1"/>
  <c r="G220" i="1"/>
  <c r="H220" i="1"/>
  <c r="G221" i="1"/>
  <c r="H221" i="1" s="1"/>
  <c r="G222" i="1"/>
  <c r="H222" i="1"/>
  <c r="G223" i="1"/>
  <c r="H223" i="1" s="1"/>
  <c r="G224" i="1"/>
  <c r="H224" i="1" s="1"/>
  <c r="G225" i="1"/>
  <c r="H225" i="1" s="1"/>
  <c r="D27" i="2" s="1"/>
  <c r="G226" i="1"/>
  <c r="H226" i="1"/>
  <c r="G227" i="1"/>
  <c r="H227" i="1" s="1"/>
  <c r="G228" i="1"/>
  <c r="H228" i="1"/>
  <c r="G229" i="1"/>
  <c r="H229" i="1" s="1"/>
  <c r="G230" i="1"/>
  <c r="H230" i="1"/>
  <c r="G231" i="1"/>
  <c r="H231" i="1" s="1"/>
  <c r="G232" i="1"/>
  <c r="H232" i="1"/>
  <c r="G233" i="1"/>
  <c r="H233" i="1" s="1"/>
  <c r="G234" i="1"/>
  <c r="H234" i="1"/>
  <c r="G235" i="1"/>
  <c r="H235" i="1" s="1"/>
  <c r="G236" i="1"/>
  <c r="H236" i="1"/>
  <c r="G237" i="1"/>
  <c r="H237" i="1" s="1"/>
  <c r="G238" i="1"/>
  <c r="H238" i="1"/>
  <c r="G239" i="1"/>
  <c r="H239" i="1" s="1"/>
  <c r="G240" i="1"/>
  <c r="H240" i="1" s="1"/>
  <c r="G241" i="1"/>
  <c r="H241" i="1" s="1"/>
  <c r="G242" i="1"/>
  <c r="H242" i="1"/>
  <c r="G243" i="1"/>
  <c r="H243" i="1" s="1"/>
  <c r="G244" i="1"/>
  <c r="H244" i="1"/>
  <c r="G245" i="1"/>
  <c r="H245" i="1" s="1"/>
  <c r="G246" i="1"/>
  <c r="H246" i="1"/>
  <c r="G247" i="1"/>
  <c r="H247" i="1" s="1"/>
  <c r="G248" i="1"/>
  <c r="H248" i="1"/>
  <c r="G249" i="1"/>
  <c r="H249" i="1" s="1"/>
  <c r="G250" i="1"/>
  <c r="H250" i="1"/>
  <c r="G251" i="1"/>
  <c r="H251" i="1" s="1"/>
  <c r="G252" i="1"/>
  <c r="H252" i="1"/>
  <c r="G253" i="1"/>
  <c r="H253" i="1" s="1"/>
  <c r="G254" i="1"/>
  <c r="H254" i="1"/>
  <c r="G255" i="1"/>
  <c r="H255" i="1" s="1"/>
  <c r="G256" i="1"/>
  <c r="H256" i="1" s="1"/>
  <c r="G257" i="1"/>
  <c r="H257" i="1" s="1"/>
  <c r="G258" i="1"/>
  <c r="H258" i="1"/>
  <c r="G259" i="1"/>
  <c r="H259" i="1" s="1"/>
  <c r="G260" i="1"/>
  <c r="H260" i="1"/>
  <c r="G261" i="1"/>
  <c r="H261" i="1" s="1"/>
  <c r="G262" i="1"/>
  <c r="H262" i="1"/>
  <c r="G263" i="1"/>
  <c r="H263" i="1" s="1"/>
  <c r="G264" i="1"/>
  <c r="H264" i="1"/>
  <c r="G265" i="1"/>
  <c r="H265" i="1" s="1"/>
  <c r="G266" i="1"/>
  <c r="H266" i="1"/>
  <c r="G267" i="1"/>
  <c r="H267" i="1" s="1"/>
  <c r="G268" i="1"/>
  <c r="H268" i="1"/>
  <c r="G269" i="1"/>
  <c r="H269" i="1" s="1"/>
  <c r="G270" i="1"/>
  <c r="H270" i="1"/>
  <c r="G271" i="1"/>
  <c r="H271" i="1" s="1"/>
  <c r="G272" i="1"/>
  <c r="H272" i="1" s="1"/>
  <c r="G273" i="1"/>
  <c r="H273" i="1" s="1"/>
  <c r="G274" i="1"/>
  <c r="H274" i="1"/>
  <c r="G275" i="1"/>
  <c r="H275" i="1" s="1"/>
  <c r="G276" i="1"/>
  <c r="H276" i="1"/>
  <c r="G277" i="1"/>
  <c r="H277" i="1" s="1"/>
  <c r="G278" i="1"/>
  <c r="H278" i="1"/>
  <c r="G279" i="1"/>
  <c r="H279" i="1" s="1"/>
  <c r="G280" i="1"/>
  <c r="H280" i="1"/>
  <c r="G281" i="1"/>
  <c r="H281" i="1" s="1"/>
  <c r="G282" i="1"/>
  <c r="H282" i="1"/>
  <c r="G283" i="1"/>
  <c r="H283" i="1" s="1"/>
  <c r="G284" i="1"/>
  <c r="H284" i="1"/>
  <c r="G285" i="1"/>
  <c r="H285" i="1" s="1"/>
  <c r="G286" i="1"/>
  <c r="H286" i="1"/>
  <c r="G287" i="1"/>
  <c r="H287" i="1" s="1"/>
  <c r="G288" i="1"/>
  <c r="H288" i="1" s="1"/>
  <c r="G289" i="1"/>
  <c r="H289" i="1" s="1"/>
  <c r="G290" i="1"/>
  <c r="H290" i="1"/>
  <c r="G291" i="1"/>
  <c r="H291" i="1" s="1"/>
  <c r="G292" i="1"/>
  <c r="H292" i="1"/>
  <c r="G293" i="1"/>
  <c r="H293" i="1" s="1"/>
  <c r="G294" i="1"/>
  <c r="H294" i="1"/>
  <c r="G295" i="1"/>
  <c r="H295" i="1" s="1"/>
  <c r="G296" i="1"/>
  <c r="H296" i="1"/>
  <c r="G297" i="1"/>
  <c r="H297" i="1" s="1"/>
  <c r="G298" i="1"/>
  <c r="H298" i="1"/>
  <c r="G299" i="1"/>
  <c r="H299" i="1" s="1"/>
  <c r="G300" i="1"/>
  <c r="H300" i="1"/>
  <c r="G301" i="1"/>
  <c r="H301" i="1" s="1"/>
  <c r="G302" i="1"/>
  <c r="H302" i="1"/>
  <c r="G303" i="1"/>
  <c r="H303" i="1" s="1"/>
  <c r="G304" i="1"/>
  <c r="H304" i="1" s="1"/>
  <c r="G305" i="1"/>
  <c r="H305" i="1" s="1"/>
  <c r="G306" i="1"/>
  <c r="H306" i="1"/>
  <c r="G307" i="1"/>
  <c r="H307" i="1" s="1"/>
  <c r="G308" i="1"/>
  <c r="H308" i="1"/>
  <c r="G309" i="1"/>
  <c r="H309" i="1" s="1"/>
  <c r="G310" i="1"/>
  <c r="H310" i="1"/>
  <c r="G311" i="1"/>
  <c r="H311" i="1" s="1"/>
  <c r="G312" i="1"/>
  <c r="H312" i="1"/>
  <c r="G313" i="1"/>
  <c r="H313" i="1" s="1"/>
  <c r="G314" i="1"/>
  <c r="H314" i="1"/>
  <c r="G315" i="1"/>
  <c r="H315" i="1" s="1"/>
  <c r="G316" i="1"/>
  <c r="H316" i="1"/>
  <c r="G317" i="1"/>
  <c r="H317" i="1" s="1"/>
  <c r="G318" i="1"/>
  <c r="H318" i="1"/>
  <c r="G319" i="1"/>
  <c r="H319" i="1" s="1"/>
  <c r="G320" i="1"/>
  <c r="H320" i="1" s="1"/>
  <c r="G321" i="1"/>
  <c r="H321" i="1" s="1"/>
  <c r="G322" i="1"/>
  <c r="H322" i="1"/>
  <c r="G323" i="1"/>
  <c r="H323" i="1" s="1"/>
  <c r="G324" i="1"/>
  <c r="H324" i="1"/>
  <c r="G325" i="1"/>
  <c r="H325" i="1" s="1"/>
  <c r="G326" i="1"/>
  <c r="H326" i="1"/>
  <c r="G327" i="1"/>
  <c r="H327" i="1" s="1"/>
  <c r="G328" i="1"/>
  <c r="H328" i="1"/>
  <c r="G329" i="1"/>
  <c r="H329" i="1" s="1"/>
  <c r="G330" i="1"/>
  <c r="H330" i="1"/>
  <c r="G331" i="1"/>
  <c r="H331" i="1" s="1"/>
  <c r="G332" i="1"/>
  <c r="H332" i="1"/>
  <c r="G333" i="1"/>
  <c r="H333" i="1" s="1"/>
  <c r="G334" i="1"/>
  <c r="H334" i="1"/>
  <c r="G335" i="1"/>
  <c r="H335" i="1" s="1"/>
  <c r="G336" i="1"/>
  <c r="H336" i="1" s="1"/>
  <c r="G337" i="1"/>
  <c r="H337" i="1" s="1"/>
  <c r="G338" i="1"/>
  <c r="H338" i="1"/>
  <c r="G339" i="1"/>
  <c r="H339" i="1" s="1"/>
  <c r="G340" i="1"/>
  <c r="H340" i="1"/>
  <c r="G341" i="1"/>
  <c r="H341" i="1" s="1"/>
  <c r="G342" i="1"/>
  <c r="H342" i="1"/>
  <c r="G343" i="1"/>
  <c r="H343" i="1" s="1"/>
  <c r="G344" i="1"/>
  <c r="H344" i="1"/>
  <c r="G345" i="1"/>
  <c r="H345" i="1" s="1"/>
  <c r="G346" i="1"/>
  <c r="H346" i="1"/>
  <c r="G347" i="1"/>
  <c r="H347" i="1" s="1"/>
  <c r="G348" i="1"/>
  <c r="H348" i="1"/>
  <c r="G349" i="1"/>
  <c r="H349" i="1" s="1"/>
  <c r="G350" i="1"/>
  <c r="H350" i="1"/>
  <c r="G351" i="1"/>
  <c r="H351" i="1" s="1"/>
  <c r="G352" i="1"/>
  <c r="H352" i="1" s="1"/>
  <c r="G353" i="1"/>
  <c r="H353" i="1" s="1"/>
  <c r="G354" i="1"/>
  <c r="H354" i="1"/>
  <c r="G355" i="1"/>
  <c r="H355" i="1" s="1"/>
  <c r="G356" i="1"/>
  <c r="H356" i="1"/>
  <c r="G357" i="1"/>
  <c r="H357" i="1" s="1"/>
  <c r="G358" i="1"/>
  <c r="H358" i="1"/>
  <c r="G359" i="1"/>
  <c r="H359" i="1" s="1"/>
  <c r="G7" i="1"/>
  <c r="H7" i="1" s="1"/>
  <c r="E50" i="2"/>
  <c r="J45" i="2"/>
  <c r="E43" i="2"/>
  <c r="K42" i="2"/>
  <c r="K34" i="2"/>
  <c r="E34" i="2"/>
  <c r="E28" i="2"/>
  <c r="K22" i="2"/>
  <c r="K26" i="2" s="1"/>
  <c r="E20" i="2"/>
  <c r="E11" i="2"/>
  <c r="K4" i="2"/>
  <c r="J4" i="2"/>
  <c r="B1" i="2"/>
  <c r="J6" i="2" l="1"/>
  <c r="D43" i="2"/>
  <c r="D34" i="2"/>
  <c r="D11" i="2"/>
  <c r="J29" i="2" s="1"/>
  <c r="D44" i="2"/>
  <c r="H360" i="1"/>
  <c r="G360" i="1"/>
  <c r="E44" i="2"/>
  <c r="E45" i="2" s="1"/>
  <c r="K44" i="2"/>
  <c r="K46" i="2" s="1"/>
  <c r="E21" i="2"/>
  <c r="D20" i="2"/>
  <c r="J30" i="2"/>
  <c r="D21" i="2" l="1"/>
  <c r="J34" i="2"/>
  <c r="E46" i="2"/>
  <c r="J22" i="2" l="1"/>
  <c r="J26" i="2" s="1"/>
  <c r="J44" i="2" s="1"/>
  <c r="J46" i="2" s="1"/>
  <c r="J47" i="2" s="1"/>
  <c r="D28" i="2"/>
  <c r="D45" i="2" l="1"/>
  <c r="D46" i="2" s="1"/>
</calcChain>
</file>

<file path=xl/sharedStrings.xml><?xml version="1.0" encoding="utf-8"?>
<sst xmlns="http://schemas.openxmlformats.org/spreadsheetml/2006/main" count="1138" uniqueCount="793">
  <si>
    <t>Diamond Star Arabia Industrial Company(Namma)</t>
  </si>
  <si>
    <t>Trial Balance  01-01-2026 To 31-05-2026</t>
  </si>
  <si>
    <t>Code</t>
  </si>
  <si>
    <t>Account</t>
  </si>
  <si>
    <t>FCA</t>
  </si>
  <si>
    <t xml:space="preserve"> CONTROL A/Cs</t>
  </si>
  <si>
    <t>JEC-001</t>
  </si>
  <si>
    <t xml:space="preserve">    Journal Entries Control A/C</t>
  </si>
  <si>
    <t>10</t>
  </si>
  <si>
    <t xml:space="preserve"> Cash &amp; Cash Equivallants</t>
  </si>
  <si>
    <t>100</t>
  </si>
  <si>
    <t xml:space="preserve">    Petty Cash</t>
  </si>
  <si>
    <t>0100-01</t>
  </si>
  <si>
    <t xml:space="preserve">        Petty Cash-Accounts</t>
  </si>
  <si>
    <t>102</t>
  </si>
  <si>
    <t xml:space="preserve">    Bank</t>
  </si>
  <si>
    <t>0102-09</t>
  </si>
  <si>
    <t xml:space="preserve">        Riyad Bank-136425689994 (DSA)</t>
  </si>
  <si>
    <t>0102-10</t>
  </si>
  <si>
    <t xml:space="preserve">        AL RAJHI BANK-45300-001-0006080453175</t>
  </si>
  <si>
    <t>400</t>
  </si>
  <si>
    <t xml:space="preserve"> Accounts Receivables</t>
  </si>
  <si>
    <t>0400-140</t>
  </si>
  <si>
    <t xml:space="preserve">    SAM Advance Co For Industry</t>
  </si>
  <si>
    <t>0400-137</t>
  </si>
  <si>
    <t xml:space="preserve">    Hamed Ateeq Raziq Al-Harbi Environmental Services Est.</t>
  </si>
  <si>
    <t>0400-02</t>
  </si>
  <si>
    <t xml:space="preserve">    AL JAZEERA MODEL PLASTIC FACTORY</t>
  </si>
  <si>
    <t>0605-03</t>
  </si>
  <si>
    <t xml:space="preserve">    Saudi Steel Reinforcements Ltd.</t>
  </si>
  <si>
    <t>0400-10</t>
  </si>
  <si>
    <t xml:space="preserve">    MUHAMMAD NASIR SANOSI BAGHDADI PLASTIC FACTORY</t>
  </si>
  <si>
    <t>0400-13</t>
  </si>
  <si>
    <t xml:space="preserve">    Rafeeq Bilal Plastic Pvt Ltd</t>
  </si>
  <si>
    <t>0400-15</t>
  </si>
  <si>
    <t xml:space="preserve">    SAPAPCO</t>
  </si>
  <si>
    <t>0400-17</t>
  </si>
  <si>
    <t xml:space="preserve">    STAR PLASTIC TRADING COMPANY</t>
  </si>
  <si>
    <t>0400-20</t>
  </si>
  <si>
    <t xml:space="preserve">    Zomorrodah Factory Plastic Industries</t>
  </si>
  <si>
    <t>0400-25</t>
  </si>
  <si>
    <t xml:space="preserve">    Various Customers</t>
  </si>
  <si>
    <t>0400-27</t>
  </si>
  <si>
    <t xml:space="preserve">    NESMA PLASTIC FACTORY</t>
  </si>
  <si>
    <t>0400-36</t>
  </si>
  <si>
    <t xml:space="preserve">    SAAD SALIM QAHTANI FACTORY</t>
  </si>
  <si>
    <t>0400-39</t>
  </si>
  <si>
    <t xml:space="preserve">    JEDDAH GOLDEN WINGS INDUSTRIAL FACTORY</t>
  </si>
  <si>
    <t>0400-40</t>
  </si>
  <si>
    <t xml:space="preserve">    Sama Bahrania Industrial Factory Co</t>
  </si>
  <si>
    <t>0400-41</t>
  </si>
  <si>
    <t xml:space="preserve">    Al Ibiraturia Al Hamra Plastic Trading LLC</t>
  </si>
  <si>
    <t>0400-46</t>
  </si>
  <si>
    <t xml:space="preserve">    NAMA ADVANCED MODERN TRADING CO.</t>
  </si>
  <si>
    <t>0400-51</t>
  </si>
  <si>
    <t xml:space="preserve">    Awad Mohammed Al-Qahtani Plastic Factory</t>
  </si>
  <si>
    <t>0400-54</t>
  </si>
  <si>
    <t xml:space="preserve">    Ahmed Abdul Aziz Badran Factory Co For Plastic And Paper</t>
  </si>
  <si>
    <t>0400-53</t>
  </si>
  <si>
    <t xml:space="preserve">    Green City International Trading Co.-Recivable</t>
  </si>
  <si>
    <t>0400-57</t>
  </si>
  <si>
    <t xml:space="preserve">    SAMA MAKKAH PLASTIC FACTORY</t>
  </si>
  <si>
    <t>0400-58</t>
  </si>
  <si>
    <t xml:space="preserve">    AZZA ALI AL ZUBAIDI EST.</t>
  </si>
  <si>
    <t>0400-60</t>
  </si>
  <si>
    <t xml:space="preserve">    AL ROMANA MODERN PLASTIC FACTORY COMPANY</t>
  </si>
  <si>
    <t>0400-61</t>
  </si>
  <si>
    <t xml:space="preserve">    WADI AL KHADRA'A FACTORY COMPANY FOR INDUSTRY</t>
  </si>
  <si>
    <t>0400-69</t>
  </si>
  <si>
    <t xml:space="preserve">    DCI Plus Foundation</t>
  </si>
  <si>
    <t>0400-75</t>
  </si>
  <si>
    <t xml:space="preserve">    MUHAMMAD JUWAIBER AL THABAITI PLASTIC FACTORY</t>
  </si>
  <si>
    <t>0400-76</t>
  </si>
  <si>
    <t xml:space="preserve">    Aknan Specialized For Industry Co.</t>
  </si>
  <si>
    <t>0400-78</t>
  </si>
  <si>
    <t xml:space="preserve">    Pharmaceutical Solution Industry Ltd.</t>
  </si>
  <si>
    <t>0400-87</t>
  </si>
  <si>
    <t xml:space="preserve">    Pan Gulf International Trading Co.(PGI)</t>
  </si>
  <si>
    <t>0400-100</t>
  </si>
  <si>
    <t xml:space="preserve">    SAUDI NATIONAL PLASTIC FACTORY FOR INDUSTRY</t>
  </si>
  <si>
    <t>0400-101</t>
  </si>
  <si>
    <t xml:space="preserve">    Sharifa Mufleh Khaled Al-Munaei Plastic Factory</t>
  </si>
  <si>
    <t>0400-102</t>
  </si>
  <si>
    <t xml:space="preserve">    LADAIN SHORAN FOR MANUFACTURING CO.</t>
  </si>
  <si>
    <t>0400-103</t>
  </si>
  <si>
    <t xml:space="preserve">    Arabian Plastic Developed Co</t>
  </si>
  <si>
    <t>0400-108</t>
  </si>
  <si>
    <t xml:space="preserve">    Ladain Al Mustaqbal For Industry</t>
  </si>
  <si>
    <t>0400-111</t>
  </si>
  <si>
    <t xml:space="preserve">    AL HAMRA FACTORY FOR PLASTIC</t>
  </si>
  <si>
    <t>0400-115</t>
  </si>
  <si>
    <t xml:space="preserve">    Ahmad Abdul Aziz Badran Factory</t>
  </si>
  <si>
    <t>0400-116</t>
  </si>
  <si>
    <t xml:space="preserve">    AMIRA SALEH AHMED ZAHRANI TRADING EST.</t>
  </si>
  <si>
    <t>0400-117</t>
  </si>
  <si>
    <t xml:space="preserve">    UMAIR SIDDIQUE TRADING Co.</t>
  </si>
  <si>
    <t>0400-118</t>
  </si>
  <si>
    <t xml:space="preserve">    SAUDI SAMETEX SOLE PROPRIETORSHIP COMPANY</t>
  </si>
  <si>
    <t>0400-121</t>
  </si>
  <si>
    <t xml:space="preserve">    AL SADARA FOR INDUSTRY COMPANY</t>
  </si>
  <si>
    <t>0400-119</t>
  </si>
  <si>
    <t xml:space="preserve">    Diamond Star Arabia Waste Recycling</t>
  </si>
  <si>
    <t>0400-136</t>
  </si>
  <si>
    <t xml:space="preserve">    Abdullah Salem Ahmed Basalama T. Est</t>
  </si>
  <si>
    <t>0400-134</t>
  </si>
  <si>
    <t xml:space="preserve">    Nufud Water Factory Co</t>
  </si>
  <si>
    <t>0400-132</t>
  </si>
  <si>
    <t xml:space="preserve">    East Harbor Trading Co.</t>
  </si>
  <si>
    <t>0400-127</t>
  </si>
  <si>
    <t xml:space="preserve">    Al-Yaqeen Advanced Trading Co.Receivable</t>
  </si>
  <si>
    <t>3200-310</t>
  </si>
  <si>
    <t xml:space="preserve">    Tadwir Al-Jazirah Trading Company LLC.</t>
  </si>
  <si>
    <t>0400-141</t>
  </si>
  <si>
    <t xml:space="preserve">    ALSAUDI ALWATANI ALMUTAFAWIQ LILBILASTIK FACTORY MFG EST.</t>
  </si>
  <si>
    <t>0400-145</t>
  </si>
  <si>
    <t xml:space="preserve">    Al Yaqeen Advanced Trading Co.New</t>
  </si>
  <si>
    <t>0400-144</t>
  </si>
  <si>
    <t xml:space="preserve">    Green City International Trading Company Receivable-New</t>
  </si>
  <si>
    <t>0400-143</t>
  </si>
  <si>
    <t xml:space="preserve">    Home Need Supplies Manufacturing Company</t>
  </si>
  <si>
    <t>0400-151</t>
  </si>
  <si>
    <t xml:space="preserve">    GREEN WEST EST</t>
  </si>
  <si>
    <t>0400-150</t>
  </si>
  <si>
    <t xml:space="preserve">    CRAFTWAVE COMPANY</t>
  </si>
  <si>
    <t>0400-149</t>
  </si>
  <si>
    <t xml:space="preserve">    Rakaz Almasia Scrap And Recycling Est.</t>
  </si>
  <si>
    <t>0400-147</t>
  </si>
  <si>
    <t xml:space="preserve">    Ruyat Al-Tanfeeth Plastic &amp; Polymers</t>
  </si>
  <si>
    <t>0400-146</t>
  </si>
  <si>
    <t xml:space="preserve">    MATUWIRIN ALBLASTIC COMPANY</t>
  </si>
  <si>
    <t>490</t>
  </si>
  <si>
    <t xml:space="preserve"> VAT</t>
  </si>
  <si>
    <t>VI-001</t>
  </si>
  <si>
    <t xml:space="preserve">    Vat Input Account</t>
  </si>
  <si>
    <t>VO-002</t>
  </si>
  <si>
    <t xml:space="preserve">    Vat Output Account</t>
  </si>
  <si>
    <t>VOA2-003</t>
  </si>
  <si>
    <t xml:space="preserve">    Net Vat Refundable / Payable.</t>
  </si>
  <si>
    <t>VOA1-005</t>
  </si>
  <si>
    <t xml:space="preserve">    Vat Receiveable</t>
  </si>
  <si>
    <t>VAD-006</t>
  </si>
  <si>
    <t xml:space="preserve">    Vat Advance Account</t>
  </si>
  <si>
    <t>601</t>
  </si>
  <si>
    <t xml:space="preserve"> Prepaid Expenses</t>
  </si>
  <si>
    <t>0601-01</t>
  </si>
  <si>
    <t xml:space="preserve">    Prepaid-Rent Factory</t>
  </si>
  <si>
    <t>0601-02</t>
  </si>
  <si>
    <t xml:space="preserve">    Prepaid-Medical Insurance</t>
  </si>
  <si>
    <t>0601-14</t>
  </si>
  <si>
    <t xml:space="preserve">    Prepaid Vehicle Insurance-Wataniya Insurance</t>
  </si>
  <si>
    <t>0601-18</t>
  </si>
  <si>
    <t xml:space="preserve">    Prepaid Bupa Medical - Exp</t>
  </si>
  <si>
    <t>0601-20</t>
  </si>
  <si>
    <t xml:space="preserve">    Prepaid MWAN License Fee</t>
  </si>
  <si>
    <t>602</t>
  </si>
  <si>
    <t xml:space="preserve"> Staff Advances</t>
  </si>
  <si>
    <t>0602-001</t>
  </si>
  <si>
    <t xml:space="preserve">    Usman Tanwar</t>
  </si>
  <si>
    <t>0602-004</t>
  </si>
  <si>
    <t xml:space="preserve">    Mohammed Omer Tanwer</t>
  </si>
  <si>
    <t>0602-016</t>
  </si>
  <si>
    <t xml:space="preserve">    Fakhruddin Qasmi - ID # 160</t>
  </si>
  <si>
    <t>0602-035</t>
  </si>
  <si>
    <t xml:space="preserve">    Moinuddin Panwar ID# 174</t>
  </si>
  <si>
    <t>0602-047</t>
  </si>
  <si>
    <t xml:space="preserve">    Rajesh ID 136</t>
  </si>
  <si>
    <t>0602-027</t>
  </si>
  <si>
    <t xml:space="preserve">    Hossam Al-Bishri # 222</t>
  </si>
  <si>
    <t>0602-049</t>
  </si>
  <si>
    <t xml:space="preserve">    Khursheed Ahmad ID-623</t>
  </si>
  <si>
    <t>604</t>
  </si>
  <si>
    <t xml:space="preserve"> Supplier Advance</t>
  </si>
  <si>
    <t>0604-18</t>
  </si>
  <si>
    <t xml:space="preserve">    Chess International Trading Company B.V.</t>
  </si>
  <si>
    <t>0604-02</t>
  </si>
  <si>
    <t xml:space="preserve">    Gulf Packaging System - Advance To Supplier</t>
  </si>
  <si>
    <t>0604-08</t>
  </si>
  <si>
    <t xml:space="preserve">    Branch Makamin Trading Est - Advance To Supplier</t>
  </si>
  <si>
    <t>0604-09</t>
  </si>
  <si>
    <t xml:space="preserve">    Saudi Can Co - Advance To Supplier</t>
  </si>
  <si>
    <t>0604-12</t>
  </si>
  <si>
    <t xml:space="preserve">    Pharmaceutical Solution Industry. Ltd</t>
  </si>
  <si>
    <t>0604-19</t>
  </si>
  <si>
    <t xml:space="preserve">    Manar Digital Business Company</t>
  </si>
  <si>
    <t>0700</t>
  </si>
  <si>
    <t xml:space="preserve"> Stocks</t>
  </si>
  <si>
    <t>0700-01</t>
  </si>
  <si>
    <t xml:space="preserve">    Raw Matetrail Inventory</t>
  </si>
  <si>
    <t>0700-02</t>
  </si>
  <si>
    <t xml:space="preserve">    Finished Goods Inventory</t>
  </si>
  <si>
    <t>0700-03</t>
  </si>
  <si>
    <t xml:space="preserve">    Work In Process</t>
  </si>
  <si>
    <t>2000</t>
  </si>
  <si>
    <t xml:space="preserve"> FA-Costs</t>
  </si>
  <si>
    <t>2000-01</t>
  </si>
  <si>
    <t xml:space="preserve">    Plants &amp; Machinery</t>
  </si>
  <si>
    <t>2000-02</t>
  </si>
  <si>
    <t xml:space="preserve">    Store Equipments</t>
  </si>
  <si>
    <t>2000-03</t>
  </si>
  <si>
    <t xml:space="preserve">    Office Equipments</t>
  </si>
  <si>
    <t>2000-04</t>
  </si>
  <si>
    <t xml:space="preserve">    Vehicles</t>
  </si>
  <si>
    <t>2000-08</t>
  </si>
  <si>
    <t xml:space="preserve">    Lease Hold Improvements.</t>
  </si>
  <si>
    <t>2001</t>
  </si>
  <si>
    <t xml:space="preserve"> Acc Depreciation</t>
  </si>
  <si>
    <t>2001-02</t>
  </si>
  <si>
    <t xml:space="preserve">    Acc Dep-Plant &amp; Machinery</t>
  </si>
  <si>
    <t>2001-03</t>
  </si>
  <si>
    <t xml:space="preserve">    Acc Dep-Store Equipments</t>
  </si>
  <si>
    <t>2001-08</t>
  </si>
  <si>
    <t xml:space="preserve">    Acc Dep- Lease Hold Improvment</t>
  </si>
  <si>
    <t>2001-04</t>
  </si>
  <si>
    <t xml:space="preserve">    Acc Dep-Office Equipments</t>
  </si>
  <si>
    <t>2001-05</t>
  </si>
  <si>
    <t xml:space="preserve">    Acc Dep-Vehicles</t>
  </si>
  <si>
    <t>2001-06</t>
  </si>
  <si>
    <t xml:space="preserve">    Acc.Dep-Furniture &amp; Fixtures</t>
  </si>
  <si>
    <t>2001-07</t>
  </si>
  <si>
    <t xml:space="preserve">    Acc.Dep-Computers</t>
  </si>
  <si>
    <t>3200</t>
  </si>
  <si>
    <t xml:space="preserve"> Trade Suppliers (Accounts Payable)</t>
  </si>
  <si>
    <t>3200-311</t>
  </si>
  <si>
    <t xml:space="preserve">    First Saudi Company</t>
  </si>
  <si>
    <t>3200-007</t>
  </si>
  <si>
    <t xml:space="preserve">    Ahmed Mohammed Saleh Baeshen &amp; Co</t>
  </si>
  <si>
    <t>3200-315</t>
  </si>
  <si>
    <t xml:space="preserve">    RAYANCO SAUDI TRDING CO</t>
  </si>
  <si>
    <t>3200-316</t>
  </si>
  <si>
    <t xml:space="preserve">    Qimat Al Sayadi Trading Company</t>
  </si>
  <si>
    <t>3200-023</t>
  </si>
  <si>
    <t xml:space="preserve">    Fast Arrow Operation &amp; Maintenance</t>
  </si>
  <si>
    <t>3200-063</t>
  </si>
  <si>
    <t xml:space="preserve">    Nasr Packaging &amp; Printing</t>
  </si>
  <si>
    <t>3200-095</t>
  </si>
  <si>
    <t xml:space="preserve">    Namma Al Enjaz Factory For Industry - Purchase</t>
  </si>
  <si>
    <t>3200-114</t>
  </si>
  <si>
    <t xml:space="preserve">    AL JAZEERA MODEL PLASTIC FACTORY.</t>
  </si>
  <si>
    <t>3200-120</t>
  </si>
  <si>
    <t xml:space="preserve">    Saudi Plastic Factory</t>
  </si>
  <si>
    <t>3200-147</t>
  </si>
  <si>
    <t xml:space="preserve">    Mahmood Saeed Beverage Ind.Co.Ltd</t>
  </si>
  <si>
    <t>3200-149</t>
  </si>
  <si>
    <t xml:space="preserve">    Fatima Ali Mohammed Al Sharif Factory For Plastic - Supplie</t>
  </si>
  <si>
    <t>3200-313</t>
  </si>
  <si>
    <t xml:space="preserve">    Bakriya Wire Steel Industries Co. Ltd</t>
  </si>
  <si>
    <t>3200-183</t>
  </si>
  <si>
    <t xml:space="preserve">    Al Yaqeen Advance Trading Est.</t>
  </si>
  <si>
    <t>3200-184</t>
  </si>
  <si>
    <t xml:space="preserve">    Pharmaceutical Solutions Industry Ltd - Supp</t>
  </si>
  <si>
    <t>3200-185</t>
  </si>
  <si>
    <t xml:space="preserve">    Bafarat Industrial Group L.L.C</t>
  </si>
  <si>
    <t>3200-188</t>
  </si>
  <si>
    <t xml:space="preserve">    Saudi Can Closures Company</t>
  </si>
  <si>
    <t>3200-193</t>
  </si>
  <si>
    <t xml:space="preserve">    Jamjoom Pharmaceuticals Co.</t>
  </si>
  <si>
    <t>3200-218</t>
  </si>
  <si>
    <t xml:space="preserve">    Naqaa Solutions Est For Environmental Services</t>
  </si>
  <si>
    <t>3200-221</t>
  </si>
  <si>
    <t xml:space="preserve">    Anas Ahmed Hashim Sobeeh Establishment</t>
  </si>
  <si>
    <t>3200-224</t>
  </si>
  <si>
    <t xml:space="preserve">    Riaz Ali Muhammad</t>
  </si>
  <si>
    <t>3200-233</t>
  </si>
  <si>
    <t xml:space="preserve">    Scottish Chemical Indsutries</t>
  </si>
  <si>
    <t>3200-235</t>
  </si>
  <si>
    <t xml:space="preserve">    Danube FoodStuff And Luxry Company</t>
  </si>
  <si>
    <t>3200-270</t>
  </si>
  <si>
    <t xml:space="preserve">    RAKAYIZ AL TADWIR EST. FOR TRADING</t>
  </si>
  <si>
    <t>3200-278</t>
  </si>
  <si>
    <t xml:space="preserve">    Tanami Al Raida Trading Co</t>
  </si>
  <si>
    <t>3200-288</t>
  </si>
  <si>
    <t xml:space="preserve">    PURCHASE CONTROL A/C</t>
  </si>
  <si>
    <t>3200-293</t>
  </si>
  <si>
    <t xml:space="preserve">    PRESONA - Supplier</t>
  </si>
  <si>
    <t>3200-294</t>
  </si>
  <si>
    <t xml:space="preserve">    TDAOR SAUDI TRADING EST</t>
  </si>
  <si>
    <t>3200-295</t>
  </si>
  <si>
    <t xml:space="preserve">    Mohammed Naser Al Hammadi Contracting</t>
  </si>
  <si>
    <t>3200-299</t>
  </si>
  <si>
    <t xml:space="preserve">    RIMS INTERNATIONAL FZCO</t>
  </si>
  <si>
    <t>3200-305</t>
  </si>
  <si>
    <t xml:space="preserve">    Kianat Rose Trading Company Ltd</t>
  </si>
  <si>
    <t>3200-317</t>
  </si>
  <si>
    <t xml:space="preserve">    AL AHKAM AL-TABIEIA FOR TRADE EST</t>
  </si>
  <si>
    <t>3200-307</t>
  </si>
  <si>
    <t xml:space="preserve">    Al Faisal Plastic Factory Co</t>
  </si>
  <si>
    <t>3200-308</t>
  </si>
  <si>
    <t xml:space="preserve">    AL-Saroor Al Arab Trading Est.</t>
  </si>
  <si>
    <t>3200-312</t>
  </si>
  <si>
    <t xml:space="preserve">    SABREEN WAN EST. For Scrap</t>
  </si>
  <si>
    <t>3200-309</t>
  </si>
  <si>
    <t xml:space="preserve">    Major Vendor</t>
  </si>
  <si>
    <t>3201</t>
  </si>
  <si>
    <t xml:space="preserve"> Expenses Payable</t>
  </si>
  <si>
    <t>3201-01</t>
  </si>
  <si>
    <t xml:space="preserve">    Accrued Expenses</t>
  </si>
  <si>
    <t>3201-02</t>
  </si>
  <si>
    <t xml:space="preserve">    Micro Solution</t>
  </si>
  <si>
    <t>3201-06</t>
  </si>
  <si>
    <t xml:space="preserve">    Trans Overseas Est</t>
  </si>
  <si>
    <t>3260</t>
  </si>
  <si>
    <t xml:space="preserve"> Others Payables</t>
  </si>
  <si>
    <t>3260-05</t>
  </si>
  <si>
    <t xml:space="preserve">    Kites Equipmdent Rental Company LLC</t>
  </si>
  <si>
    <t>3270-15</t>
  </si>
  <si>
    <t xml:space="preserve">    Palmate Information Technologies Co</t>
  </si>
  <si>
    <t>3270</t>
  </si>
  <si>
    <t xml:space="preserve"> Inter-Company</t>
  </si>
  <si>
    <t>3270-01</t>
  </si>
  <si>
    <t xml:space="preserve">    Inter-Company - Al Yaqeen</t>
  </si>
  <si>
    <t>3270-03</t>
  </si>
  <si>
    <t xml:space="preserve">    Namma Al Enjas (2026)</t>
  </si>
  <si>
    <t>3270-16</t>
  </si>
  <si>
    <t xml:space="preserve">    Investment In Tadweer Al Jazeera</t>
  </si>
  <si>
    <t>3270-04</t>
  </si>
  <si>
    <t xml:space="preserve">    Inter-Company -Green City International Trading Co</t>
  </si>
  <si>
    <t>3270-09</t>
  </si>
  <si>
    <t xml:space="preserve">    Abu Rayhan Perfume Factory</t>
  </si>
  <si>
    <t>3260-03</t>
  </si>
  <si>
    <t xml:space="preserve">    Al Taj Al-Arabia Company For Industry</t>
  </si>
  <si>
    <t>0400-86</t>
  </si>
  <si>
    <t xml:space="preserve">    Al-Yaqeen Advanced Trading Co.</t>
  </si>
  <si>
    <t>3200-148</t>
  </si>
  <si>
    <t xml:space="preserve">    Green City International Trading Co - Supplier</t>
  </si>
  <si>
    <t>3500</t>
  </si>
  <si>
    <t xml:space="preserve"> Salaries Payable</t>
  </si>
  <si>
    <t>3500-02</t>
  </si>
  <si>
    <t xml:space="preserve">    Incentive Payable</t>
  </si>
  <si>
    <t>3520</t>
  </si>
  <si>
    <t xml:space="preserve"> Fees Payable</t>
  </si>
  <si>
    <t>3520-04</t>
  </si>
  <si>
    <t xml:space="preserve">    Audit Fee Payable</t>
  </si>
  <si>
    <t>3560</t>
  </si>
  <si>
    <t xml:space="preserve"> Provisions</t>
  </si>
  <si>
    <t>3560-01</t>
  </si>
  <si>
    <t xml:space="preserve">    Provision For LFA</t>
  </si>
  <si>
    <t>3560-02</t>
  </si>
  <si>
    <t xml:space="preserve">    Provision For Vacation Pay</t>
  </si>
  <si>
    <t>3570</t>
  </si>
  <si>
    <t xml:space="preserve"> Advance From Customer</t>
  </si>
  <si>
    <t>3570-03</t>
  </si>
  <si>
    <t xml:space="preserve">    Nesma Plastic Factory - Advance From Customer</t>
  </si>
  <si>
    <t>3570-11</t>
  </si>
  <si>
    <t xml:space="preserve">    Awad Al Mufarreh Est.</t>
  </si>
  <si>
    <t>3540</t>
  </si>
  <si>
    <t xml:space="preserve"> Gratuity Payable</t>
  </si>
  <si>
    <t>3540-01</t>
  </si>
  <si>
    <t xml:space="preserve">    Provision For End Of Service</t>
  </si>
  <si>
    <t>4910</t>
  </si>
  <si>
    <t xml:space="preserve"> Drawing</t>
  </si>
  <si>
    <t>4910-01</t>
  </si>
  <si>
    <t xml:space="preserve">    Owner's Current A/c</t>
  </si>
  <si>
    <t>4910-02</t>
  </si>
  <si>
    <t xml:space="preserve">    Retained Earning-Prior Years</t>
  </si>
  <si>
    <t>5000</t>
  </si>
  <si>
    <t xml:space="preserve"> Revenue</t>
  </si>
  <si>
    <t>5000-02</t>
  </si>
  <si>
    <t xml:space="preserve">    Local Sales</t>
  </si>
  <si>
    <t>5000-03</t>
  </si>
  <si>
    <t xml:space="preserve">    Other Income</t>
  </si>
  <si>
    <t>9000</t>
  </si>
  <si>
    <t xml:space="preserve"> Cost Of Sales</t>
  </si>
  <si>
    <t>6006-05</t>
  </si>
  <si>
    <t xml:space="preserve">    Other Consumables</t>
  </si>
  <si>
    <t>6012-03</t>
  </si>
  <si>
    <t xml:space="preserve">    Loading &amp; Un-loading Exp</t>
  </si>
  <si>
    <t>6020-03</t>
  </si>
  <si>
    <t xml:space="preserve">    Customs Clearance Charges</t>
  </si>
  <si>
    <t>6012-04</t>
  </si>
  <si>
    <t xml:space="preserve">    Transportation Exp</t>
  </si>
  <si>
    <t>6012-07</t>
  </si>
  <si>
    <t xml:space="preserve">    Material Packing Exp</t>
  </si>
  <si>
    <t>6012-11</t>
  </si>
  <si>
    <t xml:space="preserve">    Weightment Exp</t>
  </si>
  <si>
    <t>9000-01</t>
  </si>
  <si>
    <t xml:space="preserve">    Cost Of Sales</t>
  </si>
  <si>
    <t>9000-02</t>
  </si>
  <si>
    <t xml:space="preserve">    Material Wastage</t>
  </si>
  <si>
    <t>9000-07</t>
  </si>
  <si>
    <t xml:space="preserve">    Bailing &amp; Shredding Service Charges</t>
  </si>
  <si>
    <t>6000</t>
  </si>
  <si>
    <t xml:space="preserve"> Cost Of Employment</t>
  </si>
  <si>
    <t>6000-01</t>
  </si>
  <si>
    <t xml:space="preserve">    Salaries &amp; Wages</t>
  </si>
  <si>
    <t>6000-05</t>
  </si>
  <si>
    <t xml:space="preserve">    Overtime</t>
  </si>
  <si>
    <t>6000-06</t>
  </si>
  <si>
    <t xml:space="preserve">    GOSSI Payments</t>
  </si>
  <si>
    <t>6000-07</t>
  </si>
  <si>
    <t xml:space="preserve">    Medical Exp</t>
  </si>
  <si>
    <t>6000-08</t>
  </si>
  <si>
    <t xml:space="preserve">    LFA Expenses</t>
  </si>
  <si>
    <t>6000-09</t>
  </si>
  <si>
    <t xml:space="preserve">    Vacation Pay Exp</t>
  </si>
  <si>
    <t>6000-10</t>
  </si>
  <si>
    <t xml:space="preserve">    Gratuity Exp</t>
  </si>
  <si>
    <t>6000-11</t>
  </si>
  <si>
    <t xml:space="preserve">    Staff Insurance</t>
  </si>
  <si>
    <t>6000-13</t>
  </si>
  <si>
    <t xml:space="preserve">    Uniform &amp; Safety Supplies</t>
  </si>
  <si>
    <t>6000-14</t>
  </si>
  <si>
    <t xml:space="preserve">    Recruiting / Visa Exp</t>
  </si>
  <si>
    <t>6000-15</t>
  </si>
  <si>
    <t xml:space="preserve">    Casual Labour Salaries</t>
  </si>
  <si>
    <t>6000-17</t>
  </si>
  <si>
    <t xml:space="preserve">    Employees Iqama Exp</t>
  </si>
  <si>
    <t>6000-18</t>
  </si>
  <si>
    <t xml:space="preserve">    Employees Work Permit Exp</t>
  </si>
  <si>
    <t>6000-19</t>
  </si>
  <si>
    <t xml:space="preserve">    Employees Exit &amp; Re-entry Exp</t>
  </si>
  <si>
    <t>6000-23</t>
  </si>
  <si>
    <t xml:space="preserve">    Employees Iqama Renewal Exp</t>
  </si>
  <si>
    <t>6003</t>
  </si>
  <si>
    <t xml:space="preserve"> Rent &amp; Rates</t>
  </si>
  <si>
    <t>6003-05</t>
  </si>
  <si>
    <t xml:space="preserve">    RENTAL CONTAINER EXP</t>
  </si>
  <si>
    <t>6003-01</t>
  </si>
  <si>
    <t xml:space="preserve">    Factory Rent</t>
  </si>
  <si>
    <t>6003-03</t>
  </si>
  <si>
    <t xml:space="preserve">    Forklift Rent</t>
  </si>
  <si>
    <t>6005</t>
  </si>
  <si>
    <t xml:space="preserve"> Depreciation Exp</t>
  </si>
  <si>
    <t>6005-02</t>
  </si>
  <si>
    <t xml:space="preserve">    Dep Exp-Plant &amp; Machinery</t>
  </si>
  <si>
    <t>6005-04</t>
  </si>
  <si>
    <t xml:space="preserve">    Dep Exp-Office Equipments</t>
  </si>
  <si>
    <t>6005-05</t>
  </si>
  <si>
    <t xml:space="preserve">    Dep Exp-Vehicles</t>
  </si>
  <si>
    <t>6005-06</t>
  </si>
  <si>
    <t xml:space="preserve">    Dep Exp-Furniture &amp; Fixtures</t>
  </si>
  <si>
    <t>6005-11</t>
  </si>
  <si>
    <t xml:space="preserve">    Dep Exp-Lease Hold Improvments</t>
  </si>
  <si>
    <t>6005-07</t>
  </si>
  <si>
    <t xml:space="preserve">    Dep Exp-Computers</t>
  </si>
  <si>
    <t>6005-09</t>
  </si>
  <si>
    <t xml:space="preserve">    Dep Exp-Store Equipments</t>
  </si>
  <si>
    <t>6006</t>
  </si>
  <si>
    <t xml:space="preserve"> Repairs &amp; Maintenance</t>
  </si>
  <si>
    <t>6006-01</t>
  </si>
  <si>
    <t xml:space="preserve">    R &amp; M- Building</t>
  </si>
  <si>
    <t>6006-02</t>
  </si>
  <si>
    <t xml:space="preserve">    R &amp; M-Plant &amp; Machinery</t>
  </si>
  <si>
    <t>9000-03</t>
  </si>
  <si>
    <t xml:space="preserve">    Fire Fighting Expenses</t>
  </si>
  <si>
    <t>6006-03</t>
  </si>
  <si>
    <t xml:space="preserve">    R &amp; M-Fork Lifts &amp; Other Equipments</t>
  </si>
  <si>
    <t>6006-04</t>
  </si>
  <si>
    <t xml:space="preserve">    R &amp; M-General (Elect &amp; Mech Spares)</t>
  </si>
  <si>
    <t>6006-07</t>
  </si>
  <si>
    <t xml:space="preserve">    R &amp; M-Office Equipment</t>
  </si>
  <si>
    <t>6006-08</t>
  </si>
  <si>
    <t xml:space="preserve">    R &amp; M-Machine MIT # 6 (DSA-MICO-02)</t>
  </si>
  <si>
    <t>6006-09</t>
  </si>
  <si>
    <t xml:space="preserve">    R &amp; M Electrical - Exp</t>
  </si>
  <si>
    <t>6006-10</t>
  </si>
  <si>
    <t xml:space="preserve">    R &amp; M YEI Machine # 07 (DSA-YEI-01)</t>
  </si>
  <si>
    <t>6006-26</t>
  </si>
  <si>
    <t xml:space="preserve">    R &amp; M-Forklift Toyota</t>
  </si>
  <si>
    <t>6006-14</t>
  </si>
  <si>
    <t xml:space="preserve">    R &amp; M Crusher Machine</t>
  </si>
  <si>
    <t>6002-29</t>
  </si>
  <si>
    <t xml:space="preserve">    R &amp; M Mico -DSA/MICO/05</t>
  </si>
  <si>
    <t>6006-30</t>
  </si>
  <si>
    <t xml:space="preserve">    R&amp;M FORKLIFT (DS-WR-FKT-TOYOTA- 2)</t>
  </si>
  <si>
    <t>6006-29</t>
  </si>
  <si>
    <t xml:space="preserve">    R&amp;M FORKLIFT (DS-WR-FKT-TOYOTA- 1)</t>
  </si>
  <si>
    <t>6006-15</t>
  </si>
  <si>
    <t xml:space="preserve">    R &amp; M Nissan Forklift UNI CAREER Y1F2 (DSA-UF)-2</t>
  </si>
  <si>
    <t>6006-28</t>
  </si>
  <si>
    <t xml:space="preserve">    R &amp; M- EPS Hot Melting Compress M-400</t>
  </si>
  <si>
    <t>6006-24</t>
  </si>
  <si>
    <t xml:space="preserve">    R&amp;M Mico MIT#5 (DSA-MICO-04)</t>
  </si>
  <si>
    <t>6006-16</t>
  </si>
  <si>
    <t xml:space="preserve">    R &amp; M Bailer Machine</t>
  </si>
  <si>
    <t>6006-25</t>
  </si>
  <si>
    <t xml:space="preserve">    R &amp; M Coreshredder</t>
  </si>
  <si>
    <t>6006-27</t>
  </si>
  <si>
    <t xml:space="preserve">    R &amp; M - Weighbridge</t>
  </si>
  <si>
    <t>6006-23</t>
  </si>
  <si>
    <t xml:space="preserve">    R &amp; M - PRESONA MACHINE</t>
  </si>
  <si>
    <t>6006-37</t>
  </si>
  <si>
    <t xml:space="preserve">    R&amp;M JCB POCLAIN -NEW</t>
  </si>
  <si>
    <t>6006-18</t>
  </si>
  <si>
    <t xml:space="preserve">    R &amp; M Zamil Chiller</t>
  </si>
  <si>
    <t>6006-36</t>
  </si>
  <si>
    <t xml:space="preserve">    R &amp; M Washing Plant (DSA-WP- 01)</t>
  </si>
  <si>
    <t>6006-21</t>
  </si>
  <si>
    <t xml:space="preserve">    R &amp; M MICO MIT # 4 (DSA-MICO-03)</t>
  </si>
  <si>
    <t>6007</t>
  </si>
  <si>
    <t xml:space="preserve"> Repair &amp; Maint-Vehicles</t>
  </si>
  <si>
    <t>6007-02</t>
  </si>
  <si>
    <t xml:space="preserve">    R &amp; M Isuzu EVS-0321</t>
  </si>
  <si>
    <t>6007-06</t>
  </si>
  <si>
    <t xml:space="preserve">    R &amp; M -Staff Related Vehicle</t>
  </si>
  <si>
    <t>6007-08</t>
  </si>
  <si>
    <t xml:space="preserve">    R &amp; M -4677-GEA</t>
  </si>
  <si>
    <t>6007-09</t>
  </si>
  <si>
    <t xml:space="preserve">    R &amp; M -6486 TLA</t>
  </si>
  <si>
    <t>6007-32</t>
  </si>
  <si>
    <t xml:space="preserve">    R &amp; M Veh &amp; Machinery Service Charge</t>
  </si>
  <si>
    <t>6007-13</t>
  </si>
  <si>
    <t xml:space="preserve">    R &amp; M -9054-RJD</t>
  </si>
  <si>
    <t>6007-14</t>
  </si>
  <si>
    <t xml:space="preserve">    R &amp; M Exp-V-2634</t>
  </si>
  <si>
    <t>6007-33</t>
  </si>
  <si>
    <t xml:space="preserve">    R &amp; M AYAT PM-34 V#7114</t>
  </si>
  <si>
    <t>6008</t>
  </si>
  <si>
    <t xml:space="preserve"> Gasoline Expenses</t>
  </si>
  <si>
    <t>6008-01</t>
  </si>
  <si>
    <t xml:space="preserve">    Fuel Exp</t>
  </si>
  <si>
    <t>6008-02</t>
  </si>
  <si>
    <t xml:space="preserve">    Fuel - Generators &amp; ForkLifts</t>
  </si>
  <si>
    <t>6008-04</t>
  </si>
  <si>
    <t xml:space="preserve">    Fuel Exp-V-4677 GEA</t>
  </si>
  <si>
    <t>6008-06</t>
  </si>
  <si>
    <t xml:space="preserve">    Fuel Exp EVS-0321</t>
  </si>
  <si>
    <t>6008-09</t>
  </si>
  <si>
    <t xml:space="preserve">    Fuel Exp-V-9054 RJD</t>
  </si>
  <si>
    <t>6008-42</t>
  </si>
  <si>
    <t xml:space="preserve">    Fuel Exp (V#4508 ) Rajesh</t>
  </si>
  <si>
    <t>6008-11</t>
  </si>
  <si>
    <t xml:space="preserve">    Fuel Exp-V-2634</t>
  </si>
  <si>
    <t>6008-13</t>
  </si>
  <si>
    <t xml:space="preserve">    Fuel Exp TLA - 6486</t>
  </si>
  <si>
    <t>6008-19</t>
  </si>
  <si>
    <t xml:space="preserve">    Fuel V#6942</t>
  </si>
  <si>
    <t>6008-23</t>
  </si>
  <si>
    <t xml:space="preserve">    Fuel V#7797</t>
  </si>
  <si>
    <t>6008-35</t>
  </si>
  <si>
    <t xml:space="preserve">    Hydraulic &amp; Engine Oil</t>
  </si>
  <si>
    <t>6008-41</t>
  </si>
  <si>
    <t xml:space="preserve">    Fuel Exp - EVB - 2317</t>
  </si>
  <si>
    <t>6009</t>
  </si>
  <si>
    <t xml:space="preserve"> Insurance</t>
  </si>
  <si>
    <t>6009-01</t>
  </si>
  <si>
    <t xml:space="preserve">    Insurance-Vehicle Exp</t>
  </si>
  <si>
    <t>6012-12</t>
  </si>
  <si>
    <t xml:space="preserve">    Insurance Exp</t>
  </si>
  <si>
    <t>6009-03</t>
  </si>
  <si>
    <t xml:space="preserve">    Insurance-Cash In Safe Exp</t>
  </si>
  <si>
    <t>6009-02</t>
  </si>
  <si>
    <t xml:space="preserve">    Insurance-Medical Exp</t>
  </si>
  <si>
    <t>6012</t>
  </si>
  <si>
    <t xml:space="preserve"> Other G &amp; A Expenses</t>
  </si>
  <si>
    <t>6012-23</t>
  </si>
  <si>
    <t xml:space="preserve">    Group Common Expenses</t>
  </si>
  <si>
    <t>6012-24</t>
  </si>
  <si>
    <t xml:space="preserve">    PGI Expenses Recoved</t>
  </si>
  <si>
    <t>6012-02</t>
  </si>
  <si>
    <t xml:space="preserve">    Office Supplies</t>
  </si>
  <si>
    <t>6012-19</t>
  </si>
  <si>
    <t xml:space="preserve">    Taxi/Bus Fair</t>
  </si>
  <si>
    <t>6012-09</t>
  </si>
  <si>
    <t xml:space="preserve">    Incentive Exp</t>
  </si>
  <si>
    <t>6012-08</t>
  </si>
  <si>
    <t xml:space="preserve">    Others / Business Promotion Exp</t>
  </si>
  <si>
    <t>6012-18</t>
  </si>
  <si>
    <t xml:space="preserve">    Sewerage Dumping Charges</t>
  </si>
  <si>
    <t>6012-17</t>
  </si>
  <si>
    <t xml:space="preserve">    Traffic Fines</t>
  </si>
  <si>
    <t>6012-22</t>
  </si>
  <si>
    <t xml:space="preserve">    Parking Charges</t>
  </si>
  <si>
    <t>6012-01</t>
  </si>
  <si>
    <t xml:space="preserve">    Printing &amp; Stationery</t>
  </si>
  <si>
    <t>6025</t>
  </si>
  <si>
    <t xml:space="preserve"> Fees &amp; Subscription</t>
  </si>
  <si>
    <t>6025-16</t>
  </si>
  <si>
    <t xml:space="preserve">    TAMM PORTAL FEE</t>
  </si>
  <si>
    <t>6025-12</t>
  </si>
  <si>
    <t xml:space="preserve">    Mwan Export License Fee</t>
  </si>
  <si>
    <t>6025-11</t>
  </si>
  <si>
    <t xml:space="preserve">    Software Expenses</t>
  </si>
  <si>
    <t>6025-04</t>
  </si>
  <si>
    <t xml:space="preserve">    Legal Service Fees</t>
  </si>
  <si>
    <t>6025-06</t>
  </si>
  <si>
    <t xml:space="preserve">    Chamber Of Commerce Fee Exp</t>
  </si>
  <si>
    <t>6025-07</t>
  </si>
  <si>
    <t xml:space="preserve">    Fines &amp; Penalities</t>
  </si>
  <si>
    <t>6025-14</t>
  </si>
  <si>
    <t xml:space="preserve">    Muqeem Points Recharge</t>
  </si>
  <si>
    <t>6025-09</t>
  </si>
  <si>
    <t xml:space="preserve">    C-R License Fee</t>
  </si>
  <si>
    <t>6025-17</t>
  </si>
  <si>
    <t xml:space="preserve">    ISO Certification Expense</t>
  </si>
  <si>
    <t>6025-05</t>
  </si>
  <si>
    <t xml:space="preserve">    Subscription Fee</t>
  </si>
  <si>
    <t>6023</t>
  </si>
  <si>
    <t xml:space="preserve"> Utilities</t>
  </si>
  <si>
    <t>6023-01</t>
  </si>
  <si>
    <t xml:space="preserve">    Electricity For Off &amp; Factory</t>
  </si>
  <si>
    <t>6023-02</t>
  </si>
  <si>
    <t xml:space="preserve">    Telephone Charges</t>
  </si>
  <si>
    <t>6023-03</t>
  </si>
  <si>
    <t xml:space="preserve">    Gas &amp; Oxygen For Factory</t>
  </si>
  <si>
    <t>6023-04</t>
  </si>
  <si>
    <t xml:space="preserve">    Water For Office And Factory</t>
  </si>
  <si>
    <t>6023-05</t>
  </si>
  <si>
    <t xml:space="preserve">    Mobile Recharges Exp</t>
  </si>
  <si>
    <t>6014</t>
  </si>
  <si>
    <t xml:space="preserve"> Computer Running Exp</t>
  </si>
  <si>
    <t>6014-01</t>
  </si>
  <si>
    <t xml:space="preserve">    Computer Exp</t>
  </si>
  <si>
    <t>6026</t>
  </si>
  <si>
    <t xml:space="preserve"> Travelling Expenses</t>
  </si>
  <si>
    <t>6026-04</t>
  </si>
  <si>
    <t xml:space="preserve">    Air Ticket &amp; Railway Ticket Exp</t>
  </si>
  <si>
    <t>6030</t>
  </si>
  <si>
    <t xml:space="preserve"> Entertainment</t>
  </si>
  <si>
    <t>6030-03</t>
  </si>
  <si>
    <t xml:space="preserve">    Refreshment Exp</t>
  </si>
  <si>
    <t>7000</t>
  </si>
  <si>
    <t xml:space="preserve"> Others Income &amp; Losses</t>
  </si>
  <si>
    <t>7000-06</t>
  </si>
  <si>
    <t xml:space="preserve">    Round-off Difference</t>
  </si>
  <si>
    <t>7000-07</t>
  </si>
  <si>
    <t xml:space="preserve">    Non-Claimable Vat</t>
  </si>
  <si>
    <t>7500</t>
  </si>
  <si>
    <t xml:space="preserve"> Financial Charges-FC</t>
  </si>
  <si>
    <t>7500-01</t>
  </si>
  <si>
    <t xml:space="preserve">    Bank Charges</t>
  </si>
  <si>
    <t xml:space="preserve"> </t>
  </si>
  <si>
    <t xml:space="preserve">Total  </t>
  </si>
  <si>
    <t>Balance Sheet</t>
  </si>
  <si>
    <t>Cash Flow Report</t>
  </si>
  <si>
    <t>In house</t>
  </si>
  <si>
    <t>Period</t>
  </si>
  <si>
    <t>OPERATING ACTIVITIES</t>
  </si>
  <si>
    <t>Non Current Assets</t>
  </si>
  <si>
    <t>Net income before zakat and income tax</t>
  </si>
  <si>
    <t>Property, plant and equipment</t>
  </si>
  <si>
    <t>Capital work in progress</t>
  </si>
  <si>
    <t>Adjustments for:</t>
  </si>
  <si>
    <t xml:space="preserve">Right on use of assets </t>
  </si>
  <si>
    <t>Depreciation and amortization</t>
  </si>
  <si>
    <t>Intangible assets</t>
  </si>
  <si>
    <t>Finance charges</t>
  </si>
  <si>
    <t xml:space="preserve">Total Non Current Assets </t>
  </si>
  <si>
    <t>(Gain)/Loss from sale of property and equipment</t>
  </si>
  <si>
    <t>Allowance for Obsolete &amp; slow moving inventory</t>
  </si>
  <si>
    <t>Current Assets</t>
  </si>
  <si>
    <t>Employees’ end of service benefits</t>
  </si>
  <si>
    <t>Inventories</t>
  </si>
  <si>
    <t xml:space="preserve">Accounts receivable </t>
  </si>
  <si>
    <t>Changes in operating assets and liabilities:</t>
  </si>
  <si>
    <t>Prepayments and other receivables</t>
  </si>
  <si>
    <t xml:space="preserve">Other current assets </t>
  </si>
  <si>
    <t xml:space="preserve">Trade receivables </t>
  </si>
  <si>
    <t>Short term debt receivable from RP</t>
  </si>
  <si>
    <t>Bank balances and cash</t>
  </si>
  <si>
    <t>Other current assets</t>
  </si>
  <si>
    <t xml:space="preserve">Total Current Assets </t>
  </si>
  <si>
    <t>Trade and other payables</t>
  </si>
  <si>
    <t>TOTAL ASSETS</t>
  </si>
  <si>
    <t>Other current liabilities</t>
  </si>
  <si>
    <t>Cash from operations</t>
  </si>
  <si>
    <t>Equity</t>
  </si>
  <si>
    <t>Finance cost paid</t>
  </si>
  <si>
    <t>Owner Contribution</t>
  </si>
  <si>
    <t>Zakat paid</t>
  </si>
  <si>
    <t>Statutory Reserves</t>
  </si>
  <si>
    <t>Employees’ end of service benefit paid</t>
  </si>
  <si>
    <t>Current Year Profit (Loss)</t>
  </si>
  <si>
    <t>Net cash from operating activities</t>
  </si>
  <si>
    <t>Retained Earnings</t>
  </si>
  <si>
    <t>Total equity</t>
  </si>
  <si>
    <t>INVESTING ACTIVITIES</t>
  </si>
  <si>
    <t>Acquisition of property and equipment and intangible assets</t>
  </si>
  <si>
    <t>Non-current liability</t>
  </si>
  <si>
    <t xml:space="preserve">Long-term loans </t>
  </si>
  <si>
    <t>Proceeds from disposal of PPE</t>
  </si>
  <si>
    <t xml:space="preserve">Long-term lease liability </t>
  </si>
  <si>
    <t>Other Financial Liability</t>
  </si>
  <si>
    <t>Employees' end of service benefits</t>
  </si>
  <si>
    <t>Short term loan</t>
  </si>
  <si>
    <t>Total Non Current liabilities</t>
  </si>
  <si>
    <t>Net cash from investing activities</t>
  </si>
  <si>
    <t>Current liabilities</t>
  </si>
  <si>
    <t>FINANCING ACTIVITIES</t>
  </si>
  <si>
    <t xml:space="preserve">Zakat Payable </t>
  </si>
  <si>
    <t>Net cash in short term borrowings</t>
  </si>
  <si>
    <t>Current portion of long-term debt</t>
  </si>
  <si>
    <t>Proceeds from long term borrowings</t>
  </si>
  <si>
    <t xml:space="preserve">Current portion of lease liability </t>
  </si>
  <si>
    <t>Repayments of long term borrowings</t>
  </si>
  <si>
    <t>Short-term borrowings</t>
  </si>
  <si>
    <t>Principal Payments of lease liability</t>
  </si>
  <si>
    <t xml:space="preserve">Trade and other payables </t>
  </si>
  <si>
    <t>Principal Payments of other financial liability</t>
  </si>
  <si>
    <t xml:space="preserve">Other liabilities </t>
  </si>
  <si>
    <t>Net cash (used in)/from financing activities</t>
  </si>
  <si>
    <t>Total Current liabilities</t>
  </si>
  <si>
    <t>Total Liabilities</t>
  </si>
  <si>
    <t>Net change in cash and cash equivalents</t>
  </si>
  <si>
    <t>TOTAL EQUITY AND LIABILITIES</t>
  </si>
  <si>
    <t>Cash and cash equivalents, January 1</t>
  </si>
  <si>
    <t>Closing Cash and Bank</t>
  </si>
  <si>
    <t>Closing Balance</t>
  </si>
  <si>
    <t>Opening Balance</t>
  </si>
  <si>
    <t>Debits</t>
  </si>
  <si>
    <t>Credits</t>
  </si>
  <si>
    <t>Net Change</t>
  </si>
  <si>
    <t>0100-02</t>
  </si>
  <si>
    <t xml:space="preserve">        Petty Cash-Expenses</t>
  </si>
  <si>
    <t>0100-03</t>
  </si>
  <si>
    <t xml:space="preserve">        Petty Cash - Material</t>
  </si>
  <si>
    <t>0100-08</t>
  </si>
  <si>
    <t xml:space="preserve">        Cash In Hand-2024</t>
  </si>
  <si>
    <t>0102-03</t>
  </si>
  <si>
    <t xml:space="preserve">        Riyad Bank IBAN- SA3120000001364256539940</t>
  </si>
  <si>
    <t>101</t>
  </si>
  <si>
    <t xml:space="preserve"> Cash In Collection</t>
  </si>
  <si>
    <t>0101-01</t>
  </si>
  <si>
    <t xml:space="preserve">    Cash In Collection</t>
  </si>
  <si>
    <t>0400-138</t>
  </si>
  <si>
    <t xml:space="preserve">    United Gulf Factory For Plastics</t>
  </si>
  <si>
    <t>0400-26</t>
  </si>
  <si>
    <t xml:space="preserve">    Shawahid Al-Jazeera Company Ltd</t>
  </si>
  <si>
    <t>0400-45</t>
  </si>
  <si>
    <t xml:space="preserve">    Elite Bright Company For Plastic</t>
  </si>
  <si>
    <t>0400-110</t>
  </si>
  <si>
    <t xml:space="preserve">    AL SULTAN MODEL PLASTIC FACTORY-OLD</t>
  </si>
  <si>
    <t>0400-126</t>
  </si>
  <si>
    <t xml:space="preserve">    RAOUD AL KHAMIS TRADING EST.</t>
  </si>
  <si>
    <t>0400-130</t>
  </si>
  <si>
    <t xml:space="preserve">    Al Sultan Model Plastic Factory</t>
  </si>
  <si>
    <t>0400-148</t>
  </si>
  <si>
    <t xml:space="preserve">    Arab Vision Trading EST</t>
  </si>
  <si>
    <t>0602-042</t>
  </si>
  <si>
    <t xml:space="preserve">    Ashraf Ghazali ID-233</t>
  </si>
  <si>
    <t>0602-048</t>
  </si>
  <si>
    <t xml:space="preserve">    Ibrahim Ali Al Barkati ID-506</t>
  </si>
  <si>
    <t>0602-046</t>
  </si>
  <si>
    <t xml:space="preserve">    Abdul Kalam Patan ID#259</t>
  </si>
  <si>
    <t>0602-045</t>
  </si>
  <si>
    <t xml:space="preserve">    Abdul Alim ID#531</t>
  </si>
  <si>
    <t>0602-012</t>
  </si>
  <si>
    <t xml:space="preserve">    ROSHIDUL ISLAM RAJU ID-493</t>
  </si>
  <si>
    <t>0602-014</t>
  </si>
  <si>
    <t xml:space="preserve">    MD Mohsin - ID # 479</t>
  </si>
  <si>
    <t>0602-037</t>
  </si>
  <si>
    <t xml:space="preserve">    Sikandar Yusuf ID-2005</t>
  </si>
  <si>
    <t>0602-041</t>
  </si>
  <si>
    <t xml:space="preserve">    SADAB AHMAD (ID 2009)</t>
  </si>
  <si>
    <t>0602-040</t>
  </si>
  <si>
    <t xml:space="preserve">    SHAMIM UDDIN (ID # 2007)</t>
  </si>
  <si>
    <t>0602-039</t>
  </si>
  <si>
    <t xml:space="preserve">    AKSHAY NIKANTH (ID # 2007)</t>
  </si>
  <si>
    <t>0602-038</t>
  </si>
  <si>
    <t xml:space="preserve">    ALTAF SIDDIQUE (ID # 2006)</t>
  </si>
  <si>
    <t>0604-17</t>
  </si>
  <si>
    <t xml:space="preserve">    FAM Recycling Fzco</t>
  </si>
  <si>
    <t>0604-16</t>
  </si>
  <si>
    <t xml:space="preserve">    ABSM For Safey Devises</t>
  </si>
  <si>
    <t>3200-038</t>
  </si>
  <si>
    <t xml:space="preserve">    Middle East Plastic Industries</t>
  </si>
  <si>
    <t>3200-059</t>
  </si>
  <si>
    <t xml:space="preserve">    Nama Advanced Modern Trading Co - Supplier</t>
  </si>
  <si>
    <t>3200-086</t>
  </si>
  <si>
    <t xml:space="preserve">    Small Vendors</t>
  </si>
  <si>
    <t>3200-111</t>
  </si>
  <si>
    <t xml:space="preserve">    Dadco Co</t>
  </si>
  <si>
    <t>3200-151</t>
  </si>
  <si>
    <t xml:space="preserve">    Arabian Plastic Developed Co - Supplier</t>
  </si>
  <si>
    <t>3200-175</t>
  </si>
  <si>
    <t xml:space="preserve">    Sleep High Co.</t>
  </si>
  <si>
    <t>3200-225</t>
  </si>
  <si>
    <t xml:space="preserve">    Ladain Shoran For Manufacturing Co (supplier)</t>
  </si>
  <si>
    <t>3200-227</t>
  </si>
  <si>
    <t>3200-246</t>
  </si>
  <si>
    <t xml:space="preserve">    Naseej International Trading Company</t>
  </si>
  <si>
    <t>3200-258</t>
  </si>
  <si>
    <t xml:space="preserve">    RECYCLE HUB TRADING CO</t>
  </si>
  <si>
    <t>3200-261</t>
  </si>
  <si>
    <t xml:space="preserve">    ADVANCED PHARMACEUTICAL INDUSTRIES CO.LTD.</t>
  </si>
  <si>
    <t>3200-262</t>
  </si>
  <si>
    <t xml:space="preserve">    AHMAD MOHAMMAD AL-THURWI GENERAL CONTRACTING EST.</t>
  </si>
  <si>
    <t>3200-275</t>
  </si>
  <si>
    <t xml:space="preserve">    Arabian Business Machines Co - ABM</t>
  </si>
  <si>
    <t>3200-314</t>
  </si>
  <si>
    <t xml:space="preserve">    Kreston Sindi Batterjee</t>
  </si>
  <si>
    <t>3200-296</t>
  </si>
  <si>
    <t xml:space="preserve">    TA Logistics</t>
  </si>
  <si>
    <t>3200-318</t>
  </si>
  <si>
    <t xml:space="preserve">    Wadi Al Ahram Commercial Est.</t>
  </si>
  <si>
    <t>3200-319</t>
  </si>
  <si>
    <t xml:space="preserve">    ARABIAN CROWN CO</t>
  </si>
  <si>
    <t>3201-04</t>
  </si>
  <si>
    <t xml:space="preserve">    Rajesh A/C (Petty Cash Imprest Act)</t>
  </si>
  <si>
    <t>3270-12</t>
  </si>
  <si>
    <t xml:space="preserve">    Technical Zone Est For Maintenance</t>
  </si>
  <si>
    <t>6000-25</t>
  </si>
  <si>
    <t xml:space="preserve">    Inspection Charges</t>
  </si>
  <si>
    <t>Sub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</si>
</sst>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[$-409]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9"/>
      <name val="Century Gothic"/>
      <family val="2"/>
    </font>
    <font>
      <b/>
      <sz val="9"/>
      <color rgb="FF694E0C"/>
      <name val="Century Gothic"/>
      <family val="2"/>
    </font>
    <font>
      <b/>
      <sz val="9"/>
      <color rgb="FFFF0000"/>
      <name val="Century Gothic"/>
      <family val="2"/>
    </font>
    <font>
      <sz val="9"/>
      <color rgb="FFFF0000"/>
      <name val="Century Gothic"/>
      <family val="2"/>
    </font>
    <font>
      <b/>
      <sz val="9"/>
      <color theme="1"/>
      <name val="Century Gothic"/>
      <family val="2"/>
    </font>
    <font>
      <sz val="9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/>
      <top/>
      <bottom style="medium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/>
    <xf numFmtId="166" fontId="5" fillId="0" borderId="0"/>
  </cellStyleXfs>
  <cellXfs count="94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6" fillId="4" borderId="0" xfId="0" applyNumberFormat="1" applyFont="1" applyFill="1" applyAlignment="1">
      <alignment horizontal="right"/>
    </xf>
    <xf numFmtId="0" fontId="7" fillId="5" borderId="0" xfId="0" applyFont="1" applyFill="1"/>
    <xf numFmtId="0" fontId="6" fillId="0" borderId="0" xfId="0" applyFont="1"/>
    <xf numFmtId="0" fontId="6" fillId="0" borderId="0" xfId="0" applyFont="1" applyAlignment="1">
      <alignment horizontal="right"/>
    </xf>
    <xf numFmtId="0" fontId="6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6" fillId="4" borderId="0" xfId="0" applyFont="1" applyFill="1" applyAlignment="1">
      <alignment horizontal="right"/>
    </xf>
    <xf numFmtId="0" fontId="8" fillId="5" borderId="0" xfId="0" applyFont="1" applyFill="1"/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164" fontId="7" fillId="5" borderId="0" xfId="0" applyNumberFormat="1" applyFont="1" applyFill="1"/>
    <xf numFmtId="41" fontId="6" fillId="4" borderId="0" xfId="0" applyNumberFormat="1" applyFont="1" applyFill="1"/>
    <xf numFmtId="41" fontId="6" fillId="4" borderId="0" xfId="0" applyNumberFormat="1" applyFont="1" applyFill="1" applyProtection="1">
      <protection locked="0"/>
    </xf>
    <xf numFmtId="0" fontId="10" fillId="4" borderId="0" xfId="0" applyFont="1" applyFill="1" applyAlignment="1">
      <alignment horizontal="right"/>
    </xf>
    <xf numFmtId="0" fontId="11" fillId="4" borderId="0" xfId="0" applyFont="1" applyFill="1"/>
    <xf numFmtId="43" fontId="6" fillId="4" borderId="0" xfId="2" applyFont="1" applyFill="1" applyProtection="1">
      <protection locked="0"/>
    </xf>
    <xf numFmtId="165" fontId="12" fillId="4" borderId="0" xfId="3" applyNumberFormat="1" applyFont="1" applyFill="1" applyBorder="1" applyAlignment="1" applyProtection="1">
      <alignment horizontal="right"/>
      <protection locked="0"/>
    </xf>
    <xf numFmtId="165" fontId="6" fillId="4" borderId="0" xfId="3" applyNumberFormat="1" applyFont="1" applyFill="1" applyBorder="1" applyAlignment="1" applyProtection="1">
      <alignment horizontal="right"/>
      <protection locked="0"/>
    </xf>
    <xf numFmtId="165" fontId="6" fillId="4" borderId="0" xfId="0" applyNumberFormat="1" applyFont="1" applyFill="1"/>
    <xf numFmtId="165" fontId="10" fillId="4" borderId="0" xfId="1" applyNumberFormat="1" applyFont="1" applyFill="1" applyAlignment="1">
      <alignment horizontal="right"/>
    </xf>
    <xf numFmtId="41" fontId="6" fillId="4" borderId="0" xfId="0" applyNumberFormat="1" applyFont="1" applyFill="1" applyAlignment="1">
      <alignment horizontal="right"/>
    </xf>
    <xf numFmtId="0" fontId="11" fillId="4" borderId="3" xfId="0" applyFont="1" applyFill="1" applyBorder="1"/>
    <xf numFmtId="41" fontId="7" fillId="4" borderId="3" xfId="0" applyNumberFormat="1" applyFont="1" applyFill="1" applyBorder="1"/>
    <xf numFmtId="41" fontId="10" fillId="4" borderId="0" xfId="0" applyNumberFormat="1" applyFont="1" applyFill="1" applyAlignment="1">
      <alignment horizontal="right"/>
    </xf>
    <xf numFmtId="16" fontId="6" fillId="4" borderId="0" xfId="0" quotePrefix="1" applyNumberFormat="1" applyFont="1" applyFill="1" applyAlignment="1">
      <alignment horizontal="right"/>
    </xf>
    <xf numFmtId="0" fontId="6" fillId="4" borderId="0" xfId="0" quotePrefix="1" applyFont="1" applyFill="1" applyAlignment="1">
      <alignment horizontal="right"/>
    </xf>
    <xf numFmtId="0" fontId="11" fillId="4" borderId="4" xfId="0" applyFont="1" applyFill="1" applyBorder="1"/>
    <xf numFmtId="41" fontId="7" fillId="4" borderId="4" xfId="0" applyNumberFormat="1" applyFont="1" applyFill="1" applyBorder="1"/>
    <xf numFmtId="0" fontId="6" fillId="4" borderId="5" xfId="0" applyFont="1" applyFill="1" applyBorder="1"/>
    <xf numFmtId="165" fontId="6" fillId="4" borderId="5" xfId="3" applyNumberFormat="1" applyFont="1" applyFill="1" applyBorder="1" applyAlignment="1" applyProtection="1">
      <alignment horizontal="right"/>
      <protection locked="0"/>
    </xf>
    <xf numFmtId="0" fontId="11" fillId="0" borderId="0" xfId="0" applyFont="1"/>
    <xf numFmtId="165" fontId="7" fillId="0" borderId="0" xfId="2" applyNumberFormat="1" applyFont="1" applyBorder="1" applyProtection="1">
      <protection locked="0"/>
    </xf>
    <xf numFmtId="165" fontId="12" fillId="0" borderId="0" xfId="2" applyNumberFormat="1" applyFont="1" applyBorder="1" applyProtection="1">
      <protection locked="0"/>
    </xf>
    <xf numFmtId="165" fontId="6" fillId="0" borderId="0" xfId="2" applyNumberFormat="1" applyFont="1" applyBorder="1" applyProtection="1">
      <protection locked="0"/>
    </xf>
    <xf numFmtId="0" fontId="11" fillId="0" borderId="3" xfId="0" applyFont="1" applyBorder="1"/>
    <xf numFmtId="165" fontId="7" fillId="0" borderId="3" xfId="0" applyNumberFormat="1" applyFont="1" applyBorder="1" applyProtection="1">
      <protection locked="0"/>
    </xf>
    <xf numFmtId="165" fontId="6" fillId="4" borderId="0" xfId="2" applyNumberFormat="1" applyFont="1" applyFill="1" applyBorder="1" applyProtection="1">
      <protection locked="0"/>
    </xf>
    <xf numFmtId="41" fontId="11" fillId="4" borderId="3" xfId="0" applyNumberFormat="1" applyFont="1" applyFill="1" applyBorder="1"/>
    <xf numFmtId="165" fontId="7" fillId="0" borderId="0" xfId="0" applyNumberFormat="1" applyFont="1" applyProtection="1">
      <protection locked="0"/>
    </xf>
    <xf numFmtId="165" fontId="11" fillId="4" borderId="0" xfId="3" applyNumberFormat="1" applyFont="1" applyFill="1" applyBorder="1" applyAlignment="1" applyProtection="1">
      <alignment horizontal="right"/>
      <protection locked="0"/>
    </xf>
    <xf numFmtId="165" fontId="12" fillId="4" borderId="0" xfId="1" applyNumberFormat="1" applyFont="1" applyFill="1" applyBorder="1" applyAlignment="1" applyProtection="1">
      <alignment horizontal="right"/>
      <protection locked="0"/>
    </xf>
    <xf numFmtId="43" fontId="6" fillId="4" borderId="0" xfId="1" applyFont="1" applyFill="1" applyBorder="1" applyAlignment="1" applyProtection="1">
      <alignment horizontal="right"/>
      <protection locked="0"/>
    </xf>
    <xf numFmtId="43" fontId="12" fillId="4" borderId="0" xfId="1" applyFont="1" applyFill="1" applyBorder="1" applyAlignment="1" applyProtection="1">
      <alignment horizontal="right"/>
      <protection locked="0"/>
    </xf>
    <xf numFmtId="41" fontId="11" fillId="4" borderId="3" xfId="0" applyNumberFormat="1" applyFont="1" applyFill="1" applyBorder="1" applyAlignment="1">
      <alignment horizontal="left"/>
    </xf>
    <xf numFmtId="41" fontId="7" fillId="0" borderId="3" xfId="0" applyNumberFormat="1" applyFont="1" applyBorder="1"/>
    <xf numFmtId="41" fontId="6" fillId="4" borderId="0" xfId="0" applyNumberFormat="1" applyFont="1" applyFill="1" applyAlignment="1">
      <alignment horizontal="left"/>
    </xf>
    <xf numFmtId="41" fontId="11" fillId="0" borderId="3" xfId="0" applyNumberFormat="1" applyFont="1" applyBorder="1"/>
    <xf numFmtId="41" fontId="11" fillId="0" borderId="4" xfId="0" applyNumberFormat="1" applyFont="1" applyBorder="1"/>
    <xf numFmtId="41" fontId="6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11" fillId="6" borderId="0" xfId="0" applyFont="1" applyFill="1"/>
    <xf numFmtId="41" fontId="11" fillId="6" borderId="0" xfId="0" applyNumberFormat="1" applyFont="1" applyFill="1" applyAlignment="1">
      <alignment horizontal="left"/>
    </xf>
    <xf numFmtId="41" fontId="10" fillId="0" borderId="0" xfId="0" applyNumberFormat="1" applyFont="1" applyAlignment="1">
      <alignment horizontal="left"/>
    </xf>
    <xf numFmtId="165" fontId="6" fillId="0" borderId="0" xfId="1" applyNumberFormat="1" applyFont="1"/>
    <xf numFmtId="165" fontId="6" fillId="0" borderId="0" xfId="0" applyNumberFormat="1" applyFont="1"/>
    <xf numFmtId="43" fontId="6" fillId="0" borderId="0" xfId="0" applyNumberFormat="1" applyFont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41" fontId="6" fillId="7" borderId="0" xfId="0" applyNumberFormat="1" applyFont="1" applyFill="1" applyAlignment="1">
      <alignment horizontal="left"/>
    </xf>
    <xf numFmtId="49" fontId="0" fillId="8" borderId="0" xfId="0" applyNumberFormat="1" applyFill="1" applyAlignment="1"/>
    <xf numFmtId="0" fontId="0" fillId="0" borderId="0" xfId="0"/>
    <xf numFmtId="0" fontId="1" fillId="0" borderId="0" xfId="0" applyFont="1"/>
    <xf numFmtId="49" fontId="0" fillId="0" borderId="0" xfId="0" applyNumberFormat="1" applyAlignment="1"/>
    <xf numFmtId="49" fontId="3" fillId="3" borderId="1" xfId="0" applyNumberFormat="1" applyFont="1" applyFill="1" applyBorder="1" applyAlignment="1"/>
    <xf numFmtId="4" fontId="0" fillId="0" borderId="0" xfId="0" applyNumberFormat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9" fontId="1" fillId="0" borderId="2" xfId="0" applyNumberFormat="1" applyFont="1" applyFill="1" applyBorder="1" applyAlignment="1"/>
    <xf numFmtId="4" fontId="1" fillId="0" borderId="2" xfId="0" applyNumberFormat="1" applyFont="1" applyFill="1" applyBorder="1" applyAlignment="1">
      <alignment horizontal="right"/>
    </xf>
    <xf numFmtId="4" fontId="0" fillId="8" borderId="0" xfId="0" applyNumberFormat="1" applyFill="1" applyAlignment="1">
      <alignment horizontal="right"/>
    </xf>
    <xf numFmtId="0" fontId="0" fillId="8" borderId="0" xfId="0" applyFill="1"/>
    <xf numFmtId="49" fontId="0" fillId="5" borderId="0" xfId="0" applyNumberFormat="1" applyFill="1" applyAlignment="1"/>
    <xf numFmtId="4" fontId="0" fillId="5" borderId="0" xfId="0" applyNumberFormat="1" applyFill="1" applyAlignment="1">
      <alignment horizontal="right"/>
    </xf>
    <xf numFmtId="0" fontId="11" fillId="4" borderId="0" xfId="0" applyFont="1" applyFill="1" applyBorder="1"/>
    <xf numFmtId="0" fontId="6" fillId="4" borderId="0" xfId="0" applyFont="1" applyFill="1" applyBorder="1"/>
    <xf numFmtId="41" fontId="6" fillId="4" borderId="0" xfId="0" applyNumberFormat="1" applyFont="1" applyFill="1" applyBorder="1"/>
    <xf numFmtId="41" fontId="6" fillId="4" borderId="0" xfId="0" applyNumberFormat="1" applyFont="1" applyFill="1" applyBorder="1" applyProtection="1">
      <protection locked="0"/>
    </xf>
    <xf numFmtId="0" fontId="6" fillId="0" borderId="0" xfId="0" applyFont="1" applyBorder="1"/>
    <xf numFmtId="41" fontId="12" fillId="4" borderId="0" xfId="0" applyNumberFormat="1" applyFont="1" applyFill="1" applyBorder="1"/>
    <xf numFmtId="41" fontId="12" fillId="0" borderId="0" xfId="0" applyNumberFormat="1" applyFont="1" applyBorder="1"/>
    <xf numFmtId="41" fontId="7" fillId="4" borderId="0" xfId="0" applyNumberFormat="1" applyFont="1" applyFill="1" applyBorder="1"/>
    <xf numFmtId="41" fontId="7" fillId="0" borderId="0" xfId="0" applyNumberFormat="1" applyFont="1" applyBorder="1"/>
    <xf numFmtId="0" fontId="12" fillId="4" borderId="0" xfId="0" applyFont="1" applyFill="1" applyBorder="1"/>
    <xf numFmtId="0" fontId="12" fillId="0" borderId="0" xfId="0" applyFont="1" applyBorder="1"/>
    <xf numFmtId="41" fontId="11" fillId="4" borderId="0" xfId="0" applyNumberFormat="1" applyFont="1" applyFill="1" applyBorder="1"/>
    <xf numFmtId="41" fontId="11" fillId="0" borderId="0" xfId="0" applyNumberFormat="1" applyFont="1" applyBorder="1"/>
    <xf numFmtId="41" fontId="6" fillId="0" borderId="0" xfId="0" applyNumberFormat="1" applyFont="1" applyBorder="1"/>
    <xf numFmtId="166" fontId="6" fillId="4" borderId="0" xfId="4" applyFont="1" applyFill="1" applyBorder="1"/>
    <xf numFmtId="0" fontId="6" fillId="0" borderId="5" xfId="0" applyFont="1" applyBorder="1"/>
    <xf numFmtId="41" fontId="10" fillId="4" borderId="5" xfId="0" applyNumberFormat="1" applyFont="1" applyFill="1" applyBorder="1"/>
  </cellXfs>
  <cellStyles count="6">
    <cellStyle name="Comma" xfId="1" builtinId="3"/>
    <cellStyle name="Comma 10" xfId="2" xr:uid="{3AA6F5CC-9DAB-4429-9961-60C2A4323EF0}"/>
    <cellStyle name="Comma 2 2 2 2" xfId="3" xr:uid="{B2EB9C97-C604-4873-95BC-EBB43B4A00DA}"/>
    <cellStyle name="Normal" xfId="0" builtinId="0"/>
    <cellStyle name="Normal 3 6" xfId="5" xr:uid="{CE673D68-5ADF-4E8D-A4DE-55F3B01B464D}"/>
    <cellStyle name="Normal_Balance sheet 2" xfId="4" xr:uid="{C3A9326E-800D-4091-B536-7B9F019064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reencity-Joint%20Venture/LOR%202026/March%202026/Monthly%20GC%20financials%20-March.xlsx" TargetMode="External"/><Relationship Id="rId2" Type="http://schemas.openxmlformats.org/officeDocument/2006/relationships/externalLinkPath" Target="file:///C:\Rasheed-DSAA\Greencity-Joint%20Venture\LOR%202026\March%202026\Monthly%20GC%20financials%20-March.xlsx" TargetMode="External"/><Relationship Id="rId1" Type="http://schemas.openxmlformats.org/officeDocument/2006/relationships/externalLinkPath" Target="/Rasheed-DSAA/Greencity-Joint%20Venture/LOR%202026/March%202026/Monthly%20GC%20financials%20-Mar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-Mgmt"/>
      <sheetName val="BS &amp; CF"/>
      <sheetName val="Trail balance"/>
      <sheetName val="S"/>
      <sheetName val="Sheet5"/>
      <sheetName val="sheet6"/>
      <sheetName val="sheet7"/>
      <sheetName val="sheet8"/>
      <sheetName val="sheet"/>
      <sheetName val="sheet9"/>
      <sheetName val="Sheet1"/>
      <sheetName val="HC"/>
      <sheetName val="Operating Exp charge calculatio"/>
      <sheetName val="Sheet2"/>
      <sheetName val="Sheet3"/>
      <sheetName val="Opex"/>
    </sheetNames>
    <sheetDataSet>
      <sheetData sheetId="0">
        <row r="1">
          <cell r="B1" t="str">
            <v>Greencity International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761A-3293-4E86-BF1F-9FCC5E520643}">
  <dimension ref="A1:I363"/>
  <sheetViews>
    <sheetView tabSelected="1" topLeftCell="A190" workbookViewId="0">
      <selection activeCell="I207" sqref="I207"/>
    </sheetView>
  </sheetViews>
  <sheetFormatPr defaultRowHeight="14.4" x14ac:dyDescent="0.3"/>
  <cols>
    <col min="1" max="1" width="7.5546875" customWidth="1"/>
    <col min="2" max="2" width="9.21875" bestFit="1" customWidth="1"/>
    <col min="3" max="3" width="53.21875" customWidth="1"/>
    <col min="4" max="4" width="12.44140625" bestFit="1" customWidth="1"/>
    <col min="5" max="5" width="15.88671875" customWidth="1"/>
    <col min="6" max="6" width="14.44140625" customWidth="1"/>
    <col min="8" max="8" width="12" customWidth="1"/>
    <col min="9" max="9" width="18.21875" customWidth="1"/>
  </cols>
  <sheetData>
    <row r="1" spans="2:9" ht="19.95" customHeight="1" x14ac:dyDescent="0.3">
      <c r="B1" s="2" t="s">
        <v>0</v>
      </c>
      <c r="C1" s="3"/>
      <c r="D1" s="3"/>
      <c r="E1" s="3"/>
      <c r="F1" s="3"/>
      <c r="G1" s="3"/>
      <c r="H1" s="3"/>
    </row>
    <row r="2" spans="2:9" x14ac:dyDescent="0.3">
      <c r="B2" s="2" t="s">
        <v>1</v>
      </c>
      <c r="C2" s="2"/>
      <c r="D2" s="2"/>
      <c r="E2" s="2"/>
      <c r="F2" s="2"/>
      <c r="G2" s="2"/>
      <c r="H2" s="2"/>
    </row>
    <row r="3" spans="2:9" x14ac:dyDescent="0.3">
      <c r="B3" s="2"/>
      <c r="C3" s="2"/>
      <c r="D3" s="2"/>
      <c r="E3" s="2"/>
      <c r="F3" s="2"/>
      <c r="G3" s="2"/>
      <c r="H3" s="2"/>
    </row>
    <row r="4" spans="2:9" x14ac:dyDescent="0.3">
      <c r="B4" s="67"/>
      <c r="C4" s="67"/>
      <c r="D4" s="69"/>
      <c r="E4" s="69"/>
      <c r="F4" s="69"/>
      <c r="G4" s="69"/>
      <c r="H4" s="69"/>
    </row>
    <row r="5" spans="2:9" x14ac:dyDescent="0.3">
      <c r="B5" s="68" t="s">
        <v>2</v>
      </c>
      <c r="C5" s="68" t="s">
        <v>3</v>
      </c>
      <c r="D5" s="70" t="s">
        <v>697</v>
      </c>
      <c r="E5" s="70" t="s">
        <v>698</v>
      </c>
      <c r="F5" s="70" t="s">
        <v>699</v>
      </c>
      <c r="G5" s="70" t="s">
        <v>700</v>
      </c>
      <c r="H5" s="70" t="s">
        <v>696</v>
      </c>
      <c r="I5" s="70" t="s">
        <v>792</v>
      </c>
    </row>
    <row r="6" spans="2:9" x14ac:dyDescent="0.3">
      <c r="B6" s="75" t="s">
        <v>4</v>
      </c>
      <c r="C6" s="75" t="s">
        <v>5</v>
      </c>
      <c r="D6" s="76"/>
      <c r="E6" s="76"/>
      <c r="F6" s="76"/>
      <c r="G6" s="76"/>
      <c r="H6" s="76"/>
    </row>
    <row r="7" spans="2:9" x14ac:dyDescent="0.3">
      <c r="B7" s="67" t="s">
        <v>6</v>
      </c>
      <c r="C7" s="67" t="s">
        <v>7</v>
      </c>
      <c r="D7" s="69">
        <v>0</v>
      </c>
      <c r="E7" s="69">
        <v>22179370.219999999</v>
      </c>
      <c r="F7" s="69">
        <v>22179370.219999999</v>
      </c>
      <c r="G7" s="69">
        <f>E7-F7</f>
        <v>0</v>
      </c>
      <c r="H7" s="69">
        <f>D7+G7</f>
        <v>0</v>
      </c>
    </row>
    <row r="8" spans="2:9" x14ac:dyDescent="0.3">
      <c r="B8" s="75" t="s">
        <v>8</v>
      </c>
      <c r="C8" s="75" t="s">
        <v>9</v>
      </c>
      <c r="D8" s="76"/>
      <c r="E8" s="76"/>
      <c r="F8" s="76"/>
      <c r="G8" s="76">
        <f t="shared" ref="G8:G71" si="0">E8-F8</f>
        <v>0</v>
      </c>
      <c r="H8" s="76">
        <f t="shared" ref="H8:H71" si="1">D8+G8</f>
        <v>0</v>
      </c>
    </row>
    <row r="9" spans="2:9" x14ac:dyDescent="0.3">
      <c r="B9" s="75" t="s">
        <v>10</v>
      </c>
      <c r="C9" s="75" t="s">
        <v>11</v>
      </c>
      <c r="D9" s="76"/>
      <c r="E9" s="76"/>
      <c r="F9" s="76"/>
      <c r="G9" s="76">
        <f t="shared" si="0"/>
        <v>0</v>
      </c>
      <c r="H9" s="76">
        <f t="shared" si="1"/>
        <v>0</v>
      </c>
    </row>
    <row r="10" spans="2:9" x14ac:dyDescent="0.3">
      <c r="B10" s="67" t="s">
        <v>12</v>
      </c>
      <c r="C10" s="67" t="s">
        <v>13</v>
      </c>
      <c r="D10" s="69">
        <v>0</v>
      </c>
      <c r="E10" s="69">
        <v>2036922.53</v>
      </c>
      <c r="F10" s="69">
        <v>2015179.49</v>
      </c>
      <c r="G10" s="69">
        <f t="shared" si="0"/>
        <v>21743.040000000037</v>
      </c>
      <c r="H10" s="69">
        <f t="shared" si="1"/>
        <v>21743.040000000037</v>
      </c>
      <c r="I10" s="78" t="s">
        <v>648</v>
      </c>
    </row>
    <row r="11" spans="2:9" x14ac:dyDescent="0.3">
      <c r="B11" s="67" t="s">
        <v>701</v>
      </c>
      <c r="C11" s="67" t="s">
        <v>702</v>
      </c>
      <c r="D11" s="69">
        <v>0</v>
      </c>
      <c r="E11" s="69">
        <v>123287.42</v>
      </c>
      <c r="F11" s="69">
        <v>123287.42</v>
      </c>
      <c r="G11" s="69">
        <f t="shared" si="0"/>
        <v>0</v>
      </c>
      <c r="H11" s="69">
        <f t="shared" si="1"/>
        <v>0</v>
      </c>
      <c r="I11" s="78" t="s">
        <v>648</v>
      </c>
    </row>
    <row r="12" spans="2:9" x14ac:dyDescent="0.3">
      <c r="B12" s="67" t="s">
        <v>703</v>
      </c>
      <c r="C12" s="67" t="s">
        <v>704</v>
      </c>
      <c r="D12" s="69">
        <v>0</v>
      </c>
      <c r="E12" s="69">
        <v>1891895.6</v>
      </c>
      <c r="F12" s="69">
        <v>1891895.6</v>
      </c>
      <c r="G12" s="69">
        <f t="shared" si="0"/>
        <v>0</v>
      </c>
      <c r="H12" s="69">
        <f t="shared" si="1"/>
        <v>0</v>
      </c>
      <c r="I12" s="78" t="s">
        <v>648</v>
      </c>
    </row>
    <row r="13" spans="2:9" x14ac:dyDescent="0.3">
      <c r="B13" s="67" t="s">
        <v>705</v>
      </c>
      <c r="C13" s="67" t="s">
        <v>706</v>
      </c>
      <c r="D13" s="69">
        <v>0</v>
      </c>
      <c r="E13" s="69">
        <v>405334</v>
      </c>
      <c r="F13" s="69">
        <v>405334</v>
      </c>
      <c r="G13" s="69">
        <f t="shared" si="0"/>
        <v>0</v>
      </c>
      <c r="H13" s="69">
        <f t="shared" si="1"/>
        <v>0</v>
      </c>
      <c r="I13" s="78" t="s">
        <v>648</v>
      </c>
    </row>
    <row r="14" spans="2:9" x14ac:dyDescent="0.3">
      <c r="B14" s="75" t="s">
        <v>14</v>
      </c>
      <c r="C14" s="75" t="s">
        <v>15</v>
      </c>
      <c r="D14" s="76"/>
      <c r="E14" s="76"/>
      <c r="F14" s="76"/>
      <c r="G14" s="76">
        <f t="shared" si="0"/>
        <v>0</v>
      </c>
      <c r="H14" s="76">
        <f t="shared" si="1"/>
        <v>0</v>
      </c>
      <c r="I14" s="78" t="s">
        <v>648</v>
      </c>
    </row>
    <row r="15" spans="2:9" x14ac:dyDescent="0.3">
      <c r="B15" s="67" t="s">
        <v>707</v>
      </c>
      <c r="C15" s="67" t="s">
        <v>708</v>
      </c>
      <c r="D15" s="69">
        <v>0</v>
      </c>
      <c r="E15" s="69">
        <v>6842.5</v>
      </c>
      <c r="F15" s="69">
        <v>6842.5</v>
      </c>
      <c r="G15" s="69">
        <f t="shared" si="0"/>
        <v>0</v>
      </c>
      <c r="H15" s="69">
        <f t="shared" si="1"/>
        <v>0</v>
      </c>
      <c r="I15" s="78" t="s">
        <v>648</v>
      </c>
    </row>
    <row r="16" spans="2:9" x14ac:dyDescent="0.3">
      <c r="B16" s="67" t="s">
        <v>16</v>
      </c>
      <c r="C16" s="67" t="s">
        <v>17</v>
      </c>
      <c r="D16" s="69">
        <v>0</v>
      </c>
      <c r="E16" s="69">
        <v>8919704.8399999999</v>
      </c>
      <c r="F16" s="69">
        <v>8887800.2899999991</v>
      </c>
      <c r="G16" s="69">
        <f t="shared" si="0"/>
        <v>31904.550000000745</v>
      </c>
      <c r="H16" s="69">
        <f t="shared" si="1"/>
        <v>31904.550000000745</v>
      </c>
      <c r="I16" s="78" t="s">
        <v>648</v>
      </c>
    </row>
    <row r="17" spans="2:9" x14ac:dyDescent="0.3">
      <c r="B17" s="67" t="s">
        <v>18</v>
      </c>
      <c r="C17" s="67" t="s">
        <v>19</v>
      </c>
      <c r="D17" s="69">
        <v>0</v>
      </c>
      <c r="E17" s="69">
        <v>100</v>
      </c>
      <c r="F17" s="69">
        <v>0</v>
      </c>
      <c r="G17" s="69">
        <f t="shared" si="0"/>
        <v>100</v>
      </c>
      <c r="H17" s="69">
        <f t="shared" si="1"/>
        <v>100</v>
      </c>
      <c r="I17" s="78" t="s">
        <v>648</v>
      </c>
    </row>
    <row r="18" spans="2:9" x14ac:dyDescent="0.3">
      <c r="B18" s="75" t="s">
        <v>709</v>
      </c>
      <c r="C18" s="75" t="s">
        <v>710</v>
      </c>
      <c r="D18" s="76"/>
      <c r="E18" s="76"/>
      <c r="F18" s="76"/>
      <c r="G18" s="76">
        <f t="shared" si="0"/>
        <v>0</v>
      </c>
      <c r="H18" s="76">
        <f t="shared" si="1"/>
        <v>0</v>
      </c>
      <c r="I18" s="78" t="s">
        <v>648</v>
      </c>
    </row>
    <row r="19" spans="2:9" x14ac:dyDescent="0.3">
      <c r="B19" s="67" t="s">
        <v>711</v>
      </c>
      <c r="C19" s="67" t="s">
        <v>712</v>
      </c>
      <c r="D19" s="69">
        <v>0</v>
      </c>
      <c r="E19" s="69">
        <v>2279166.5499999998</v>
      </c>
      <c r="F19" s="69">
        <v>2279166.5499999998</v>
      </c>
      <c r="G19" s="69">
        <f t="shared" si="0"/>
        <v>0</v>
      </c>
      <c r="H19" s="69">
        <f t="shared" si="1"/>
        <v>0</v>
      </c>
      <c r="I19" s="78" t="s">
        <v>648</v>
      </c>
    </row>
    <row r="20" spans="2:9" x14ac:dyDescent="0.3">
      <c r="B20" s="75" t="s">
        <v>20</v>
      </c>
      <c r="C20" s="75" t="s">
        <v>21</v>
      </c>
      <c r="D20" s="76"/>
      <c r="E20" s="76"/>
      <c r="F20" s="76"/>
      <c r="G20" s="76">
        <f t="shared" si="0"/>
        <v>0</v>
      </c>
      <c r="H20" s="76">
        <f t="shared" si="1"/>
        <v>0</v>
      </c>
    </row>
    <row r="21" spans="2:9" x14ac:dyDescent="0.3">
      <c r="B21" s="67" t="s">
        <v>22</v>
      </c>
      <c r="C21" s="67" t="s">
        <v>23</v>
      </c>
      <c r="D21" s="69">
        <v>0</v>
      </c>
      <c r="E21" s="69">
        <v>16145001.800000001</v>
      </c>
      <c r="F21" s="69">
        <v>16146224</v>
      </c>
      <c r="G21" s="69">
        <f t="shared" si="0"/>
        <v>-1222.1999999992549</v>
      </c>
      <c r="H21" s="69">
        <f t="shared" si="1"/>
        <v>-1222.1999999992549</v>
      </c>
      <c r="I21" s="78" t="s">
        <v>642</v>
      </c>
    </row>
    <row r="22" spans="2:9" x14ac:dyDescent="0.3">
      <c r="B22" s="67" t="s">
        <v>713</v>
      </c>
      <c r="C22" s="67" t="s">
        <v>714</v>
      </c>
      <c r="D22" s="69">
        <v>0</v>
      </c>
      <c r="E22" s="69">
        <v>52969</v>
      </c>
      <c r="F22" s="69">
        <v>52969</v>
      </c>
      <c r="G22" s="69">
        <f t="shared" si="0"/>
        <v>0</v>
      </c>
      <c r="H22" s="69">
        <f t="shared" si="1"/>
        <v>0</v>
      </c>
      <c r="I22" s="78" t="s">
        <v>642</v>
      </c>
    </row>
    <row r="23" spans="2:9" x14ac:dyDescent="0.3">
      <c r="B23" s="67" t="s">
        <v>24</v>
      </c>
      <c r="C23" s="67" t="s">
        <v>25</v>
      </c>
      <c r="D23" s="69">
        <v>0</v>
      </c>
      <c r="E23" s="69">
        <v>15719.81</v>
      </c>
      <c r="F23" s="69">
        <v>15719.85</v>
      </c>
      <c r="G23" s="69">
        <f t="shared" si="0"/>
        <v>-4.0000000000873115E-2</v>
      </c>
      <c r="H23" s="69">
        <f t="shared" si="1"/>
        <v>-4.0000000000873115E-2</v>
      </c>
      <c r="I23" s="78" t="s">
        <v>642</v>
      </c>
    </row>
    <row r="24" spans="2:9" x14ac:dyDescent="0.3">
      <c r="B24" s="67" t="s">
        <v>26</v>
      </c>
      <c r="C24" s="67" t="s">
        <v>27</v>
      </c>
      <c r="D24" s="69">
        <v>0</v>
      </c>
      <c r="E24" s="69">
        <v>200701.8</v>
      </c>
      <c r="F24" s="69">
        <v>167048.04999999999</v>
      </c>
      <c r="G24" s="69">
        <f t="shared" si="0"/>
        <v>33653.75</v>
      </c>
      <c r="H24" s="69">
        <f t="shared" si="1"/>
        <v>33653.75</v>
      </c>
      <c r="I24" s="78" t="s">
        <v>642</v>
      </c>
    </row>
    <row r="25" spans="2:9" x14ac:dyDescent="0.3">
      <c r="B25" s="67" t="s">
        <v>28</v>
      </c>
      <c r="C25" s="67" t="s">
        <v>29</v>
      </c>
      <c r="D25" s="69">
        <v>0</v>
      </c>
      <c r="E25" s="69">
        <v>10399.23</v>
      </c>
      <c r="F25" s="69">
        <v>10125.4</v>
      </c>
      <c r="G25" s="69">
        <f t="shared" si="0"/>
        <v>273.82999999999993</v>
      </c>
      <c r="H25" s="69">
        <f t="shared" si="1"/>
        <v>273.82999999999993</v>
      </c>
      <c r="I25" s="78" t="s">
        <v>642</v>
      </c>
    </row>
    <row r="26" spans="2:9" x14ac:dyDescent="0.3">
      <c r="B26" s="67" t="s">
        <v>30</v>
      </c>
      <c r="C26" s="67" t="s">
        <v>31</v>
      </c>
      <c r="D26" s="69">
        <v>0</v>
      </c>
      <c r="E26" s="69">
        <v>28230.2</v>
      </c>
      <c r="F26" s="69">
        <v>25424.3</v>
      </c>
      <c r="G26" s="69">
        <f t="shared" si="0"/>
        <v>2805.9000000000015</v>
      </c>
      <c r="H26" s="69">
        <f t="shared" si="1"/>
        <v>2805.9000000000015</v>
      </c>
      <c r="I26" s="78" t="s">
        <v>642</v>
      </c>
    </row>
    <row r="27" spans="2:9" x14ac:dyDescent="0.3">
      <c r="B27" s="67" t="s">
        <v>32</v>
      </c>
      <c r="C27" s="67" t="s">
        <v>33</v>
      </c>
      <c r="D27" s="69">
        <v>0</v>
      </c>
      <c r="E27" s="69">
        <v>67742.45</v>
      </c>
      <c r="F27" s="69">
        <v>61111</v>
      </c>
      <c r="G27" s="69">
        <f t="shared" si="0"/>
        <v>6631.4499999999971</v>
      </c>
      <c r="H27" s="69">
        <f t="shared" si="1"/>
        <v>6631.4499999999971</v>
      </c>
      <c r="I27" s="78" t="s">
        <v>642</v>
      </c>
    </row>
    <row r="28" spans="2:9" x14ac:dyDescent="0.3">
      <c r="B28" s="67" t="s">
        <v>34</v>
      </c>
      <c r="C28" s="67" t="s">
        <v>35</v>
      </c>
      <c r="D28" s="69">
        <v>0</v>
      </c>
      <c r="E28" s="69">
        <v>61331.23</v>
      </c>
      <c r="F28" s="69">
        <v>51528.28</v>
      </c>
      <c r="G28" s="69">
        <f t="shared" si="0"/>
        <v>9802.9500000000044</v>
      </c>
      <c r="H28" s="69">
        <f t="shared" si="1"/>
        <v>9802.9500000000044</v>
      </c>
      <c r="I28" s="78" t="s">
        <v>642</v>
      </c>
    </row>
    <row r="29" spans="2:9" x14ac:dyDescent="0.3">
      <c r="B29" s="67" t="s">
        <v>36</v>
      </c>
      <c r="C29" s="67" t="s">
        <v>37</v>
      </c>
      <c r="D29" s="69">
        <v>0</v>
      </c>
      <c r="E29" s="69">
        <v>651340.44999999995</v>
      </c>
      <c r="F29" s="69">
        <v>486660</v>
      </c>
      <c r="G29" s="69">
        <f t="shared" si="0"/>
        <v>164680.44999999995</v>
      </c>
      <c r="H29" s="69">
        <f t="shared" si="1"/>
        <v>164680.44999999995</v>
      </c>
      <c r="I29" s="78" t="s">
        <v>642</v>
      </c>
    </row>
    <row r="30" spans="2:9" x14ac:dyDescent="0.3">
      <c r="B30" s="67" t="s">
        <v>38</v>
      </c>
      <c r="C30" s="67" t="s">
        <v>39</v>
      </c>
      <c r="D30" s="69">
        <v>0</v>
      </c>
      <c r="E30" s="69">
        <v>13878.71</v>
      </c>
      <c r="F30" s="69">
        <v>13885.93</v>
      </c>
      <c r="G30" s="69">
        <f t="shared" si="0"/>
        <v>-7.2200000000011642</v>
      </c>
      <c r="H30" s="69">
        <f t="shared" si="1"/>
        <v>-7.2200000000011642</v>
      </c>
      <c r="I30" s="78" t="s">
        <v>642</v>
      </c>
    </row>
    <row r="31" spans="2:9" x14ac:dyDescent="0.3">
      <c r="B31" s="67" t="s">
        <v>40</v>
      </c>
      <c r="C31" s="67" t="s">
        <v>41</v>
      </c>
      <c r="D31" s="69">
        <v>0</v>
      </c>
      <c r="E31" s="69">
        <v>0</v>
      </c>
      <c r="F31" s="69">
        <v>6880</v>
      </c>
      <c r="G31" s="69">
        <f t="shared" si="0"/>
        <v>-6880</v>
      </c>
      <c r="H31" s="69">
        <f t="shared" si="1"/>
        <v>-6880</v>
      </c>
      <c r="I31" s="78" t="s">
        <v>642</v>
      </c>
    </row>
    <row r="32" spans="2:9" x14ac:dyDescent="0.3">
      <c r="B32" s="67" t="s">
        <v>715</v>
      </c>
      <c r="C32" s="67" t="s">
        <v>716</v>
      </c>
      <c r="D32" s="69">
        <v>0</v>
      </c>
      <c r="E32" s="69">
        <v>24840</v>
      </c>
      <c r="F32" s="69">
        <v>24840</v>
      </c>
      <c r="G32" s="69">
        <f t="shared" si="0"/>
        <v>0</v>
      </c>
      <c r="H32" s="69">
        <f t="shared" si="1"/>
        <v>0</v>
      </c>
      <c r="I32" s="78" t="s">
        <v>642</v>
      </c>
    </row>
    <row r="33" spans="2:9" x14ac:dyDescent="0.3">
      <c r="B33" s="67" t="s">
        <v>42</v>
      </c>
      <c r="C33" s="67" t="s">
        <v>43</v>
      </c>
      <c r="D33" s="69">
        <v>0</v>
      </c>
      <c r="E33" s="69">
        <v>17035.75</v>
      </c>
      <c r="F33" s="69">
        <v>14935.8</v>
      </c>
      <c r="G33" s="69">
        <f t="shared" si="0"/>
        <v>2099.9500000000007</v>
      </c>
      <c r="H33" s="69">
        <f t="shared" si="1"/>
        <v>2099.9500000000007</v>
      </c>
      <c r="I33" s="78" t="s">
        <v>642</v>
      </c>
    </row>
    <row r="34" spans="2:9" x14ac:dyDescent="0.3">
      <c r="B34" s="67" t="s">
        <v>44</v>
      </c>
      <c r="C34" s="67" t="s">
        <v>45</v>
      </c>
      <c r="D34" s="69">
        <v>0</v>
      </c>
      <c r="E34" s="69">
        <v>366473.38</v>
      </c>
      <c r="F34" s="69">
        <v>364720.63</v>
      </c>
      <c r="G34" s="69">
        <f t="shared" si="0"/>
        <v>1752.75</v>
      </c>
      <c r="H34" s="69">
        <f t="shared" si="1"/>
        <v>1752.75</v>
      </c>
      <c r="I34" s="78" t="s">
        <v>642</v>
      </c>
    </row>
    <row r="35" spans="2:9" x14ac:dyDescent="0.3">
      <c r="B35" s="67" t="s">
        <v>46</v>
      </c>
      <c r="C35" s="67" t="s">
        <v>47</v>
      </c>
      <c r="D35" s="69">
        <v>0</v>
      </c>
      <c r="E35" s="69">
        <v>1232.8</v>
      </c>
      <c r="F35" s="69">
        <v>1233</v>
      </c>
      <c r="G35" s="69">
        <f t="shared" si="0"/>
        <v>-0.20000000000004547</v>
      </c>
      <c r="H35" s="69">
        <f t="shared" si="1"/>
        <v>-0.20000000000004547</v>
      </c>
      <c r="I35" s="78" t="s">
        <v>642</v>
      </c>
    </row>
    <row r="36" spans="2:9" x14ac:dyDescent="0.3">
      <c r="B36" s="67" t="s">
        <v>48</v>
      </c>
      <c r="C36" s="67" t="s">
        <v>49</v>
      </c>
      <c r="D36" s="69">
        <v>0</v>
      </c>
      <c r="E36" s="69">
        <v>5890.58</v>
      </c>
      <c r="F36" s="69">
        <v>0</v>
      </c>
      <c r="G36" s="69">
        <f t="shared" si="0"/>
        <v>5890.58</v>
      </c>
      <c r="H36" s="69">
        <f t="shared" si="1"/>
        <v>5890.58</v>
      </c>
      <c r="I36" s="78" t="s">
        <v>642</v>
      </c>
    </row>
    <row r="37" spans="2:9" x14ac:dyDescent="0.3">
      <c r="B37" s="67" t="s">
        <v>50</v>
      </c>
      <c r="C37" s="67" t="s">
        <v>51</v>
      </c>
      <c r="D37" s="69">
        <v>0</v>
      </c>
      <c r="E37" s="69">
        <v>251780.95</v>
      </c>
      <c r="F37" s="69">
        <v>0</v>
      </c>
      <c r="G37" s="69">
        <f t="shared" si="0"/>
        <v>251780.95</v>
      </c>
      <c r="H37" s="69">
        <f t="shared" si="1"/>
        <v>251780.95</v>
      </c>
      <c r="I37" s="78" t="s">
        <v>642</v>
      </c>
    </row>
    <row r="38" spans="2:9" x14ac:dyDescent="0.3">
      <c r="B38" s="67" t="s">
        <v>717</v>
      </c>
      <c r="C38" s="67" t="s">
        <v>718</v>
      </c>
      <c r="D38" s="69">
        <v>0</v>
      </c>
      <c r="E38" s="69">
        <v>4821.95</v>
      </c>
      <c r="F38" s="69">
        <v>4821.95</v>
      </c>
      <c r="G38" s="69">
        <f t="shared" si="0"/>
        <v>0</v>
      </c>
      <c r="H38" s="69">
        <f t="shared" si="1"/>
        <v>0</v>
      </c>
      <c r="I38" s="78" t="s">
        <v>642</v>
      </c>
    </row>
    <row r="39" spans="2:9" x14ac:dyDescent="0.3">
      <c r="B39" s="67" t="s">
        <v>52</v>
      </c>
      <c r="C39" s="67" t="s">
        <v>53</v>
      </c>
      <c r="D39" s="69">
        <v>0</v>
      </c>
      <c r="E39" s="69">
        <v>170400.4</v>
      </c>
      <c r="F39" s="69">
        <v>160113.57999999999</v>
      </c>
      <c r="G39" s="69">
        <f t="shared" si="0"/>
        <v>10286.820000000007</v>
      </c>
      <c r="H39" s="69">
        <f t="shared" si="1"/>
        <v>10286.820000000007</v>
      </c>
      <c r="I39" s="78" t="s">
        <v>642</v>
      </c>
    </row>
    <row r="40" spans="2:9" x14ac:dyDescent="0.3">
      <c r="B40" s="67" t="s">
        <v>54</v>
      </c>
      <c r="C40" s="67" t="s">
        <v>55</v>
      </c>
      <c r="D40" s="69">
        <v>0</v>
      </c>
      <c r="E40" s="69">
        <v>233535.1</v>
      </c>
      <c r="F40" s="69">
        <v>144630</v>
      </c>
      <c r="G40" s="69">
        <f t="shared" si="0"/>
        <v>88905.1</v>
      </c>
      <c r="H40" s="69">
        <f t="shared" si="1"/>
        <v>88905.1</v>
      </c>
      <c r="I40" s="78" t="s">
        <v>642</v>
      </c>
    </row>
    <row r="41" spans="2:9" x14ac:dyDescent="0.3">
      <c r="B41" s="67" t="s">
        <v>56</v>
      </c>
      <c r="C41" s="67" t="s">
        <v>57</v>
      </c>
      <c r="D41" s="69">
        <v>0</v>
      </c>
      <c r="E41" s="69">
        <v>481.75</v>
      </c>
      <c r="F41" s="69">
        <v>481</v>
      </c>
      <c r="G41" s="69">
        <f t="shared" si="0"/>
        <v>0.75</v>
      </c>
      <c r="H41" s="69">
        <f t="shared" si="1"/>
        <v>0.75</v>
      </c>
      <c r="I41" s="78" t="s">
        <v>642</v>
      </c>
    </row>
    <row r="42" spans="2:9" x14ac:dyDescent="0.3">
      <c r="B42" s="67" t="s">
        <v>58</v>
      </c>
      <c r="C42" s="67" t="s">
        <v>59</v>
      </c>
      <c r="D42" s="69">
        <v>0</v>
      </c>
      <c r="E42" s="69">
        <v>372824.94</v>
      </c>
      <c r="F42" s="69">
        <v>365861.38</v>
      </c>
      <c r="G42" s="69">
        <f t="shared" si="0"/>
        <v>6963.5599999999977</v>
      </c>
      <c r="H42" s="69">
        <f t="shared" si="1"/>
        <v>6963.5599999999977</v>
      </c>
      <c r="I42" s="78" t="s">
        <v>642</v>
      </c>
    </row>
    <row r="43" spans="2:9" x14ac:dyDescent="0.3">
      <c r="B43" s="67" t="s">
        <v>60</v>
      </c>
      <c r="C43" s="67" t="s">
        <v>61</v>
      </c>
      <c r="D43" s="69">
        <v>0</v>
      </c>
      <c r="E43" s="69">
        <v>172851.9</v>
      </c>
      <c r="F43" s="69">
        <v>172849</v>
      </c>
      <c r="G43" s="69">
        <f t="shared" si="0"/>
        <v>2.8999999999941792</v>
      </c>
      <c r="H43" s="69">
        <f t="shared" si="1"/>
        <v>2.8999999999941792</v>
      </c>
      <c r="I43" s="78" t="s">
        <v>642</v>
      </c>
    </row>
    <row r="44" spans="2:9" x14ac:dyDescent="0.3">
      <c r="B44" s="67" t="s">
        <v>62</v>
      </c>
      <c r="C44" s="67" t="s">
        <v>63</v>
      </c>
      <c r="D44" s="69">
        <v>0</v>
      </c>
      <c r="E44" s="69">
        <v>31741.32</v>
      </c>
      <c r="F44" s="69">
        <v>31741</v>
      </c>
      <c r="G44" s="69">
        <f t="shared" si="0"/>
        <v>0.31999999999970896</v>
      </c>
      <c r="H44" s="69">
        <f t="shared" si="1"/>
        <v>0.31999999999970896</v>
      </c>
      <c r="I44" s="78" t="s">
        <v>642</v>
      </c>
    </row>
    <row r="45" spans="2:9" x14ac:dyDescent="0.3">
      <c r="B45" s="67" t="s">
        <v>64</v>
      </c>
      <c r="C45" s="67" t="s">
        <v>65</v>
      </c>
      <c r="D45" s="69">
        <v>0</v>
      </c>
      <c r="E45" s="69">
        <v>376533</v>
      </c>
      <c r="F45" s="69">
        <v>376533.5</v>
      </c>
      <c r="G45" s="69">
        <f t="shared" si="0"/>
        <v>-0.5</v>
      </c>
      <c r="H45" s="69">
        <f t="shared" si="1"/>
        <v>-0.5</v>
      </c>
      <c r="I45" s="78" t="s">
        <v>642</v>
      </c>
    </row>
    <row r="46" spans="2:9" x14ac:dyDescent="0.3">
      <c r="B46" s="67" t="s">
        <v>66</v>
      </c>
      <c r="C46" s="67" t="s">
        <v>67</v>
      </c>
      <c r="D46" s="69">
        <v>0</v>
      </c>
      <c r="E46" s="69">
        <v>124932.31</v>
      </c>
      <c r="F46" s="69">
        <v>107922</v>
      </c>
      <c r="G46" s="69">
        <f t="shared" si="0"/>
        <v>17010.309999999998</v>
      </c>
      <c r="H46" s="69">
        <f t="shared" si="1"/>
        <v>17010.309999999998</v>
      </c>
      <c r="I46" s="78" t="s">
        <v>642</v>
      </c>
    </row>
    <row r="47" spans="2:9" x14ac:dyDescent="0.3">
      <c r="B47" s="67" t="s">
        <v>68</v>
      </c>
      <c r="C47" s="67" t="s">
        <v>69</v>
      </c>
      <c r="D47" s="69">
        <v>0</v>
      </c>
      <c r="E47" s="69">
        <v>77464</v>
      </c>
      <c r="F47" s="69">
        <v>70012</v>
      </c>
      <c r="G47" s="69">
        <f t="shared" si="0"/>
        <v>7452</v>
      </c>
      <c r="H47" s="69">
        <f t="shared" si="1"/>
        <v>7452</v>
      </c>
      <c r="I47" s="78" t="s">
        <v>642</v>
      </c>
    </row>
    <row r="48" spans="2:9" x14ac:dyDescent="0.3">
      <c r="B48" s="67" t="s">
        <v>70</v>
      </c>
      <c r="C48" s="67" t="s">
        <v>71</v>
      </c>
      <c r="D48" s="69">
        <v>0</v>
      </c>
      <c r="E48" s="69">
        <v>36680.400000000001</v>
      </c>
      <c r="F48" s="69">
        <v>36745</v>
      </c>
      <c r="G48" s="69">
        <f t="shared" si="0"/>
        <v>-64.599999999998545</v>
      </c>
      <c r="H48" s="69">
        <f t="shared" si="1"/>
        <v>-64.599999999998545</v>
      </c>
      <c r="I48" s="78" t="s">
        <v>642</v>
      </c>
    </row>
    <row r="49" spans="2:9" x14ac:dyDescent="0.3">
      <c r="B49" s="67" t="s">
        <v>72</v>
      </c>
      <c r="C49" s="67" t="s">
        <v>73</v>
      </c>
      <c r="D49" s="69">
        <v>0</v>
      </c>
      <c r="E49" s="69">
        <v>28139.35</v>
      </c>
      <c r="F49" s="69">
        <v>22473.85</v>
      </c>
      <c r="G49" s="69">
        <f t="shared" si="0"/>
        <v>5665.5</v>
      </c>
      <c r="H49" s="69">
        <f t="shared" si="1"/>
        <v>5665.5</v>
      </c>
      <c r="I49" s="78" t="s">
        <v>642</v>
      </c>
    </row>
    <row r="50" spans="2:9" x14ac:dyDescent="0.3">
      <c r="B50" s="67" t="s">
        <v>74</v>
      </c>
      <c r="C50" s="67" t="s">
        <v>75</v>
      </c>
      <c r="D50" s="69">
        <v>0</v>
      </c>
      <c r="E50" s="69">
        <v>164635.71</v>
      </c>
      <c r="F50" s="69">
        <v>40472.18</v>
      </c>
      <c r="G50" s="69">
        <f t="shared" si="0"/>
        <v>124163.53</v>
      </c>
      <c r="H50" s="69">
        <f t="shared" si="1"/>
        <v>124163.53</v>
      </c>
      <c r="I50" s="78" t="s">
        <v>642</v>
      </c>
    </row>
    <row r="51" spans="2:9" x14ac:dyDescent="0.3">
      <c r="B51" s="67" t="s">
        <v>76</v>
      </c>
      <c r="C51" s="67" t="s">
        <v>77</v>
      </c>
      <c r="D51" s="69">
        <v>0</v>
      </c>
      <c r="E51" s="69">
        <v>670340.31999999995</v>
      </c>
      <c r="F51" s="69">
        <v>592985.91</v>
      </c>
      <c r="G51" s="69">
        <f t="shared" si="0"/>
        <v>77354.409999999916</v>
      </c>
      <c r="H51" s="69">
        <f t="shared" si="1"/>
        <v>77354.409999999916</v>
      </c>
      <c r="I51" s="78" t="s">
        <v>642</v>
      </c>
    </row>
    <row r="52" spans="2:9" x14ac:dyDescent="0.3">
      <c r="B52" s="67" t="s">
        <v>78</v>
      </c>
      <c r="C52" s="67" t="s">
        <v>79</v>
      </c>
      <c r="D52" s="69">
        <v>0</v>
      </c>
      <c r="E52" s="69">
        <v>14950</v>
      </c>
      <c r="F52" s="69">
        <v>14949.32</v>
      </c>
      <c r="G52" s="69">
        <f t="shared" si="0"/>
        <v>0.68000000000029104</v>
      </c>
      <c r="H52" s="69">
        <f t="shared" si="1"/>
        <v>0.68000000000029104</v>
      </c>
      <c r="I52" s="78" t="s">
        <v>642</v>
      </c>
    </row>
    <row r="53" spans="2:9" x14ac:dyDescent="0.3">
      <c r="B53" s="67" t="s">
        <v>80</v>
      </c>
      <c r="C53" s="67" t="s">
        <v>81</v>
      </c>
      <c r="D53" s="69">
        <v>0</v>
      </c>
      <c r="E53" s="69">
        <v>5280.8</v>
      </c>
      <c r="F53" s="69">
        <v>5282</v>
      </c>
      <c r="G53" s="69">
        <f t="shared" si="0"/>
        <v>-1.1999999999998181</v>
      </c>
      <c r="H53" s="69">
        <f t="shared" si="1"/>
        <v>-1.1999999999998181</v>
      </c>
      <c r="I53" s="78" t="s">
        <v>642</v>
      </c>
    </row>
    <row r="54" spans="2:9" x14ac:dyDescent="0.3">
      <c r="B54" s="67" t="s">
        <v>82</v>
      </c>
      <c r="C54" s="67" t="s">
        <v>83</v>
      </c>
      <c r="D54" s="69">
        <v>0</v>
      </c>
      <c r="E54" s="69">
        <v>1619415.59</v>
      </c>
      <c r="F54" s="69">
        <v>1550686.59</v>
      </c>
      <c r="G54" s="69">
        <f t="shared" si="0"/>
        <v>68729</v>
      </c>
      <c r="H54" s="69">
        <f t="shared" si="1"/>
        <v>68729</v>
      </c>
      <c r="I54" s="78" t="s">
        <v>642</v>
      </c>
    </row>
    <row r="55" spans="2:9" x14ac:dyDescent="0.3">
      <c r="B55" s="67" t="s">
        <v>84</v>
      </c>
      <c r="C55" s="67" t="s">
        <v>85</v>
      </c>
      <c r="D55" s="69">
        <v>0</v>
      </c>
      <c r="E55" s="69">
        <v>84410</v>
      </c>
      <c r="F55" s="69">
        <v>84412</v>
      </c>
      <c r="G55" s="69">
        <f t="shared" si="0"/>
        <v>-2</v>
      </c>
      <c r="H55" s="69">
        <f t="shared" si="1"/>
        <v>-2</v>
      </c>
      <c r="I55" s="78" t="s">
        <v>642</v>
      </c>
    </row>
    <row r="56" spans="2:9" x14ac:dyDescent="0.3">
      <c r="B56" s="67" t="s">
        <v>86</v>
      </c>
      <c r="C56" s="67" t="s">
        <v>87</v>
      </c>
      <c r="D56" s="69">
        <v>0</v>
      </c>
      <c r="E56" s="69">
        <v>276459.08</v>
      </c>
      <c r="F56" s="69">
        <v>244140.23</v>
      </c>
      <c r="G56" s="69">
        <f t="shared" si="0"/>
        <v>32318.850000000006</v>
      </c>
      <c r="H56" s="69">
        <f t="shared" si="1"/>
        <v>32318.850000000006</v>
      </c>
      <c r="I56" s="78" t="s">
        <v>642</v>
      </c>
    </row>
    <row r="57" spans="2:9" x14ac:dyDescent="0.3">
      <c r="B57" s="67" t="s">
        <v>719</v>
      </c>
      <c r="C57" s="67" t="s">
        <v>720</v>
      </c>
      <c r="D57" s="69">
        <v>0</v>
      </c>
      <c r="E57" s="69">
        <v>2346</v>
      </c>
      <c r="F57" s="69">
        <v>2346</v>
      </c>
      <c r="G57" s="69">
        <f t="shared" si="0"/>
        <v>0</v>
      </c>
      <c r="H57" s="69">
        <f t="shared" si="1"/>
        <v>0</v>
      </c>
      <c r="I57" s="78" t="s">
        <v>642</v>
      </c>
    </row>
    <row r="58" spans="2:9" x14ac:dyDescent="0.3">
      <c r="B58" s="67" t="s">
        <v>88</v>
      </c>
      <c r="C58" s="67" t="s">
        <v>89</v>
      </c>
      <c r="D58" s="69">
        <v>0</v>
      </c>
      <c r="E58" s="69">
        <v>278519.67</v>
      </c>
      <c r="F58" s="69">
        <v>256756</v>
      </c>
      <c r="G58" s="69">
        <f t="shared" si="0"/>
        <v>21763.669999999984</v>
      </c>
      <c r="H58" s="69">
        <f t="shared" si="1"/>
        <v>21763.669999999984</v>
      </c>
      <c r="I58" s="78" t="s">
        <v>642</v>
      </c>
    </row>
    <row r="59" spans="2:9" x14ac:dyDescent="0.3">
      <c r="B59" s="67" t="s">
        <v>90</v>
      </c>
      <c r="C59" s="67" t="s">
        <v>91</v>
      </c>
      <c r="D59" s="69">
        <v>0</v>
      </c>
      <c r="E59" s="69">
        <v>0</v>
      </c>
      <c r="F59" s="69">
        <v>2664.55</v>
      </c>
      <c r="G59" s="69">
        <f t="shared" si="0"/>
        <v>-2664.55</v>
      </c>
      <c r="H59" s="69">
        <f t="shared" si="1"/>
        <v>-2664.55</v>
      </c>
      <c r="I59" s="78" t="s">
        <v>642</v>
      </c>
    </row>
    <row r="60" spans="2:9" x14ac:dyDescent="0.3">
      <c r="B60" s="67" t="s">
        <v>92</v>
      </c>
      <c r="C60" s="67" t="s">
        <v>93</v>
      </c>
      <c r="D60" s="69">
        <v>0</v>
      </c>
      <c r="E60" s="69">
        <v>47597.35</v>
      </c>
      <c r="F60" s="69">
        <v>47597</v>
      </c>
      <c r="G60" s="69">
        <f t="shared" si="0"/>
        <v>0.34999999999854481</v>
      </c>
      <c r="H60" s="69">
        <f t="shared" si="1"/>
        <v>0.34999999999854481</v>
      </c>
      <c r="I60" s="78" t="s">
        <v>642</v>
      </c>
    </row>
    <row r="61" spans="2:9" x14ac:dyDescent="0.3">
      <c r="B61" s="67" t="s">
        <v>94</v>
      </c>
      <c r="C61" s="67" t="s">
        <v>95</v>
      </c>
      <c r="D61" s="69">
        <v>0</v>
      </c>
      <c r="E61" s="69">
        <v>7232.93</v>
      </c>
      <c r="F61" s="69">
        <v>7230</v>
      </c>
      <c r="G61" s="69">
        <f t="shared" si="0"/>
        <v>2.930000000000291</v>
      </c>
      <c r="H61" s="69">
        <f t="shared" si="1"/>
        <v>2.930000000000291</v>
      </c>
      <c r="I61" s="78" t="s">
        <v>642</v>
      </c>
    </row>
    <row r="62" spans="2:9" x14ac:dyDescent="0.3">
      <c r="B62" s="67" t="s">
        <v>96</v>
      </c>
      <c r="C62" s="67" t="s">
        <v>97</v>
      </c>
      <c r="D62" s="69">
        <v>0</v>
      </c>
      <c r="E62" s="69">
        <v>627465.88</v>
      </c>
      <c r="F62" s="69">
        <v>597582.52</v>
      </c>
      <c r="G62" s="69">
        <f t="shared" si="0"/>
        <v>29883.359999999986</v>
      </c>
      <c r="H62" s="69">
        <f t="shared" si="1"/>
        <v>29883.359999999986</v>
      </c>
      <c r="I62" s="78" t="s">
        <v>642</v>
      </c>
    </row>
    <row r="63" spans="2:9" x14ac:dyDescent="0.3">
      <c r="B63" s="67" t="s">
        <v>98</v>
      </c>
      <c r="C63" s="67" t="s">
        <v>99</v>
      </c>
      <c r="D63" s="69">
        <v>0</v>
      </c>
      <c r="E63" s="69">
        <v>12929.95</v>
      </c>
      <c r="F63" s="69">
        <v>12605</v>
      </c>
      <c r="G63" s="69">
        <f t="shared" si="0"/>
        <v>324.95000000000073</v>
      </c>
      <c r="H63" s="69">
        <f t="shared" si="1"/>
        <v>324.95000000000073</v>
      </c>
      <c r="I63" s="78" t="s">
        <v>642</v>
      </c>
    </row>
    <row r="64" spans="2:9" x14ac:dyDescent="0.3">
      <c r="B64" s="67" t="s">
        <v>721</v>
      </c>
      <c r="C64" s="67" t="s">
        <v>722</v>
      </c>
      <c r="D64" s="69">
        <v>0</v>
      </c>
      <c r="E64" s="69">
        <v>2649.6</v>
      </c>
      <c r="F64" s="69">
        <v>2649.6</v>
      </c>
      <c r="G64" s="69">
        <f t="shared" si="0"/>
        <v>0</v>
      </c>
      <c r="H64" s="69">
        <f t="shared" si="1"/>
        <v>0</v>
      </c>
      <c r="I64" s="78" t="s">
        <v>642</v>
      </c>
    </row>
    <row r="65" spans="2:9" x14ac:dyDescent="0.3">
      <c r="B65" s="67" t="s">
        <v>100</v>
      </c>
      <c r="C65" s="67" t="s">
        <v>101</v>
      </c>
      <c r="D65" s="69">
        <v>0</v>
      </c>
      <c r="E65" s="69">
        <v>67135.8</v>
      </c>
      <c r="F65" s="69">
        <v>22897.33</v>
      </c>
      <c r="G65" s="69">
        <f t="shared" si="0"/>
        <v>44238.47</v>
      </c>
      <c r="H65" s="69">
        <f t="shared" si="1"/>
        <v>44238.47</v>
      </c>
      <c r="I65" s="78" t="s">
        <v>642</v>
      </c>
    </row>
    <row r="66" spans="2:9" x14ac:dyDescent="0.3">
      <c r="B66" s="67" t="s">
        <v>102</v>
      </c>
      <c r="C66" s="67" t="s">
        <v>103</v>
      </c>
      <c r="D66" s="69">
        <v>0</v>
      </c>
      <c r="E66" s="69">
        <v>8687.1</v>
      </c>
      <c r="F66" s="69">
        <v>8687</v>
      </c>
      <c r="G66" s="69">
        <f t="shared" si="0"/>
        <v>0.1000000000003638</v>
      </c>
      <c r="H66" s="69">
        <f t="shared" si="1"/>
        <v>0.1000000000003638</v>
      </c>
      <c r="I66" s="78" t="s">
        <v>642</v>
      </c>
    </row>
    <row r="67" spans="2:9" x14ac:dyDescent="0.3">
      <c r="B67" s="67" t="s">
        <v>104</v>
      </c>
      <c r="C67" s="67" t="s">
        <v>105</v>
      </c>
      <c r="D67" s="69">
        <v>0</v>
      </c>
      <c r="E67" s="69">
        <v>1277</v>
      </c>
      <c r="F67" s="69">
        <v>1276.5</v>
      </c>
      <c r="G67" s="69">
        <f t="shared" si="0"/>
        <v>0.5</v>
      </c>
      <c r="H67" s="69">
        <f t="shared" si="1"/>
        <v>0.5</v>
      </c>
      <c r="I67" s="78" t="s">
        <v>642</v>
      </c>
    </row>
    <row r="68" spans="2:9" x14ac:dyDescent="0.3">
      <c r="B68" s="67" t="s">
        <v>106</v>
      </c>
      <c r="C68" s="67" t="s">
        <v>107</v>
      </c>
      <c r="D68" s="69">
        <v>0</v>
      </c>
      <c r="E68" s="69">
        <v>1165.3800000000001</v>
      </c>
      <c r="F68" s="69">
        <v>0</v>
      </c>
      <c r="G68" s="69">
        <f t="shared" si="0"/>
        <v>1165.3800000000001</v>
      </c>
      <c r="H68" s="69">
        <f t="shared" si="1"/>
        <v>1165.3800000000001</v>
      </c>
      <c r="I68" s="78" t="s">
        <v>642</v>
      </c>
    </row>
    <row r="69" spans="2:9" x14ac:dyDescent="0.3">
      <c r="B69" s="67" t="s">
        <v>723</v>
      </c>
      <c r="C69" s="67" t="s">
        <v>724</v>
      </c>
      <c r="D69" s="69">
        <v>0</v>
      </c>
      <c r="E69" s="69">
        <v>151192.79999999999</v>
      </c>
      <c r="F69" s="69">
        <v>151192.79999999999</v>
      </c>
      <c r="G69" s="69">
        <f t="shared" si="0"/>
        <v>0</v>
      </c>
      <c r="H69" s="69">
        <f t="shared" si="1"/>
        <v>0</v>
      </c>
      <c r="I69" s="78" t="s">
        <v>642</v>
      </c>
    </row>
    <row r="70" spans="2:9" x14ac:dyDescent="0.3">
      <c r="B70" s="67" t="s">
        <v>108</v>
      </c>
      <c r="C70" s="67" t="s">
        <v>109</v>
      </c>
      <c r="D70" s="69">
        <v>0</v>
      </c>
      <c r="E70" s="69">
        <v>1029.25</v>
      </c>
      <c r="F70" s="69">
        <v>1776.15</v>
      </c>
      <c r="G70" s="69">
        <f t="shared" si="0"/>
        <v>-746.90000000000009</v>
      </c>
      <c r="H70" s="69">
        <f t="shared" si="1"/>
        <v>-746.90000000000009</v>
      </c>
      <c r="I70" s="78" t="s">
        <v>642</v>
      </c>
    </row>
    <row r="71" spans="2:9" x14ac:dyDescent="0.3">
      <c r="B71" s="67" t="s">
        <v>110</v>
      </c>
      <c r="C71" s="67" t="s">
        <v>111</v>
      </c>
      <c r="D71" s="69">
        <v>0</v>
      </c>
      <c r="E71" s="69">
        <v>294422.69</v>
      </c>
      <c r="F71" s="69">
        <v>795037.42</v>
      </c>
      <c r="G71" s="69">
        <f t="shared" si="0"/>
        <v>-500614.73000000004</v>
      </c>
      <c r="H71" s="69">
        <f t="shared" si="1"/>
        <v>-500614.73000000004</v>
      </c>
      <c r="I71" s="78" t="s">
        <v>647</v>
      </c>
    </row>
    <row r="72" spans="2:9" x14ac:dyDescent="0.3">
      <c r="B72" s="67" t="s">
        <v>112</v>
      </c>
      <c r="C72" s="67" t="s">
        <v>113</v>
      </c>
      <c r="D72" s="69">
        <v>0</v>
      </c>
      <c r="E72" s="69">
        <v>178866.4</v>
      </c>
      <c r="F72" s="69">
        <v>160892.4</v>
      </c>
      <c r="G72" s="69">
        <f t="shared" ref="G72:G135" si="2">E72-F72</f>
        <v>17974</v>
      </c>
      <c r="H72" s="69">
        <f t="shared" ref="H72:H135" si="3">D72+G72</f>
        <v>17974</v>
      </c>
      <c r="I72" s="78" t="s">
        <v>642</v>
      </c>
    </row>
    <row r="73" spans="2:9" x14ac:dyDescent="0.3">
      <c r="B73" s="67" t="s">
        <v>114</v>
      </c>
      <c r="C73" s="67" t="s">
        <v>115</v>
      </c>
      <c r="D73" s="69">
        <v>0</v>
      </c>
      <c r="E73" s="69">
        <v>4533.3</v>
      </c>
      <c r="F73" s="69">
        <v>655725.4</v>
      </c>
      <c r="G73" s="69">
        <f t="shared" si="2"/>
        <v>-651192.1</v>
      </c>
      <c r="H73" s="69">
        <f t="shared" si="3"/>
        <v>-651192.1</v>
      </c>
      <c r="I73" s="78" t="s">
        <v>647</v>
      </c>
    </row>
    <row r="74" spans="2:9" x14ac:dyDescent="0.3">
      <c r="B74" s="67" t="s">
        <v>116</v>
      </c>
      <c r="C74" s="67" t="s">
        <v>117</v>
      </c>
      <c r="D74" s="69">
        <v>0</v>
      </c>
      <c r="E74" s="69">
        <v>535816.43000000005</v>
      </c>
      <c r="F74" s="69">
        <v>0</v>
      </c>
      <c r="G74" s="69">
        <f t="shared" si="2"/>
        <v>535816.43000000005</v>
      </c>
      <c r="H74" s="69">
        <f t="shared" si="3"/>
        <v>535816.43000000005</v>
      </c>
      <c r="I74" s="78" t="s">
        <v>647</v>
      </c>
    </row>
    <row r="75" spans="2:9" x14ac:dyDescent="0.3">
      <c r="B75" s="67" t="s">
        <v>118</v>
      </c>
      <c r="C75" s="67" t="s">
        <v>119</v>
      </c>
      <c r="D75" s="69">
        <v>0</v>
      </c>
      <c r="E75" s="69">
        <v>161201.25</v>
      </c>
      <c r="F75" s="69">
        <v>161200.75</v>
      </c>
      <c r="G75" s="69">
        <f t="shared" si="2"/>
        <v>0.5</v>
      </c>
      <c r="H75" s="69">
        <f t="shared" si="3"/>
        <v>0.5</v>
      </c>
      <c r="I75" s="78" t="s">
        <v>642</v>
      </c>
    </row>
    <row r="76" spans="2:9" x14ac:dyDescent="0.3">
      <c r="B76" s="67" t="s">
        <v>120</v>
      </c>
      <c r="C76" s="67" t="s">
        <v>121</v>
      </c>
      <c r="D76" s="69">
        <v>0</v>
      </c>
      <c r="E76" s="69">
        <v>381.06</v>
      </c>
      <c r="F76" s="69">
        <v>381</v>
      </c>
      <c r="G76" s="69">
        <f t="shared" si="2"/>
        <v>6.0000000000002274E-2</v>
      </c>
      <c r="H76" s="69">
        <f t="shared" si="3"/>
        <v>6.0000000000002274E-2</v>
      </c>
      <c r="I76" s="78" t="s">
        <v>642</v>
      </c>
    </row>
    <row r="77" spans="2:9" x14ac:dyDescent="0.3">
      <c r="B77" s="67" t="s">
        <v>122</v>
      </c>
      <c r="C77" s="67" t="s">
        <v>123</v>
      </c>
      <c r="D77" s="69">
        <v>0</v>
      </c>
      <c r="E77" s="69">
        <v>1688.77</v>
      </c>
      <c r="F77" s="69">
        <v>1688.75</v>
      </c>
      <c r="G77" s="69">
        <f t="shared" si="2"/>
        <v>1.999999999998181E-2</v>
      </c>
      <c r="H77" s="69">
        <f t="shared" si="3"/>
        <v>1.999999999998181E-2</v>
      </c>
      <c r="I77" s="78" t="s">
        <v>642</v>
      </c>
    </row>
    <row r="78" spans="2:9" x14ac:dyDescent="0.3">
      <c r="B78" s="67" t="s">
        <v>124</v>
      </c>
      <c r="C78" s="67" t="s">
        <v>125</v>
      </c>
      <c r="D78" s="69">
        <v>0</v>
      </c>
      <c r="E78" s="69">
        <v>5345.2</v>
      </c>
      <c r="F78" s="69">
        <v>5345</v>
      </c>
      <c r="G78" s="69">
        <f t="shared" si="2"/>
        <v>0.1999999999998181</v>
      </c>
      <c r="H78" s="69">
        <f t="shared" si="3"/>
        <v>0.1999999999998181</v>
      </c>
      <c r="I78" s="78" t="s">
        <v>642</v>
      </c>
    </row>
    <row r="79" spans="2:9" x14ac:dyDescent="0.3">
      <c r="B79" s="67" t="s">
        <v>725</v>
      </c>
      <c r="C79" s="67" t="s">
        <v>726</v>
      </c>
      <c r="D79" s="69">
        <v>0</v>
      </c>
      <c r="E79" s="69">
        <v>16560</v>
      </c>
      <c r="F79" s="69">
        <v>16560</v>
      </c>
      <c r="G79" s="69">
        <f t="shared" si="2"/>
        <v>0</v>
      </c>
      <c r="H79" s="69">
        <f t="shared" si="3"/>
        <v>0</v>
      </c>
      <c r="I79" s="78" t="s">
        <v>642</v>
      </c>
    </row>
    <row r="80" spans="2:9" x14ac:dyDescent="0.3">
      <c r="B80" s="67" t="s">
        <v>126</v>
      </c>
      <c r="C80" s="67" t="s">
        <v>127</v>
      </c>
      <c r="D80" s="69">
        <v>0</v>
      </c>
      <c r="E80" s="69">
        <v>648.6</v>
      </c>
      <c r="F80" s="69">
        <v>648</v>
      </c>
      <c r="G80" s="69">
        <f t="shared" si="2"/>
        <v>0.60000000000002274</v>
      </c>
      <c r="H80" s="69">
        <f t="shared" si="3"/>
        <v>0.60000000000002274</v>
      </c>
      <c r="I80" s="78" t="s">
        <v>642</v>
      </c>
    </row>
    <row r="81" spans="2:9" x14ac:dyDescent="0.3">
      <c r="B81" s="67" t="s">
        <v>128</v>
      </c>
      <c r="C81" s="67" t="s">
        <v>129</v>
      </c>
      <c r="D81" s="69">
        <v>0</v>
      </c>
      <c r="E81" s="69">
        <v>99264.55</v>
      </c>
      <c r="F81" s="69">
        <v>96600</v>
      </c>
      <c r="G81" s="69">
        <f t="shared" si="2"/>
        <v>2664.5500000000029</v>
      </c>
      <c r="H81" s="69">
        <f t="shared" si="3"/>
        <v>2664.5500000000029</v>
      </c>
      <c r="I81" s="78" t="s">
        <v>642</v>
      </c>
    </row>
    <row r="82" spans="2:9" x14ac:dyDescent="0.3">
      <c r="B82" s="75" t="s">
        <v>130</v>
      </c>
      <c r="C82" s="75" t="s">
        <v>131</v>
      </c>
      <c r="D82" s="76"/>
      <c r="E82" s="76"/>
      <c r="F82" s="76"/>
      <c r="G82" s="76">
        <f t="shared" si="2"/>
        <v>0</v>
      </c>
      <c r="H82" s="76">
        <f t="shared" si="3"/>
        <v>0</v>
      </c>
    </row>
    <row r="83" spans="2:9" x14ac:dyDescent="0.3">
      <c r="B83" s="67" t="s">
        <v>132</v>
      </c>
      <c r="C83" s="67" t="s">
        <v>133</v>
      </c>
      <c r="D83" s="69">
        <v>0</v>
      </c>
      <c r="E83" s="69">
        <v>977485.76</v>
      </c>
      <c r="F83" s="69">
        <v>741334.96</v>
      </c>
      <c r="G83" s="69">
        <f t="shared" si="2"/>
        <v>236150.80000000005</v>
      </c>
      <c r="H83" s="69">
        <f t="shared" si="3"/>
        <v>236150.80000000005</v>
      </c>
      <c r="I83" s="78" t="s">
        <v>645</v>
      </c>
    </row>
    <row r="84" spans="2:9" x14ac:dyDescent="0.3">
      <c r="B84" s="67" t="s">
        <v>134</v>
      </c>
      <c r="C84" s="67" t="s">
        <v>135</v>
      </c>
      <c r="D84" s="69">
        <v>0</v>
      </c>
      <c r="E84" s="69">
        <v>2893001.87</v>
      </c>
      <c r="F84" s="69">
        <v>3096628.13</v>
      </c>
      <c r="G84" s="69">
        <f t="shared" si="2"/>
        <v>-203626.25999999978</v>
      </c>
      <c r="H84" s="69">
        <f t="shared" si="3"/>
        <v>-203626.25999999978</v>
      </c>
      <c r="I84" s="78" t="s">
        <v>645</v>
      </c>
    </row>
    <row r="85" spans="2:9" x14ac:dyDescent="0.3">
      <c r="B85" s="67" t="s">
        <v>136</v>
      </c>
      <c r="C85" s="67" t="s">
        <v>137</v>
      </c>
      <c r="D85" s="69">
        <v>-8133.72</v>
      </c>
      <c r="E85" s="69">
        <v>159260.85</v>
      </c>
      <c r="F85" s="69">
        <v>148976.09</v>
      </c>
      <c r="G85" s="69">
        <f t="shared" si="2"/>
        <v>10284.760000000009</v>
      </c>
      <c r="H85" s="69">
        <f t="shared" si="3"/>
        <v>2151.0400000000091</v>
      </c>
      <c r="I85" s="78" t="s">
        <v>645</v>
      </c>
    </row>
    <row r="86" spans="2:9" x14ac:dyDescent="0.3">
      <c r="B86" s="67" t="s">
        <v>138</v>
      </c>
      <c r="C86" s="67" t="s">
        <v>139</v>
      </c>
      <c r="D86" s="69">
        <v>0</v>
      </c>
      <c r="E86" s="69">
        <v>235.17</v>
      </c>
      <c r="F86" s="69">
        <v>0</v>
      </c>
      <c r="G86" s="69">
        <f t="shared" si="2"/>
        <v>235.17</v>
      </c>
      <c r="H86" s="69">
        <f t="shared" si="3"/>
        <v>235.17</v>
      </c>
      <c r="I86" s="78" t="s">
        <v>645</v>
      </c>
    </row>
    <row r="87" spans="2:9" x14ac:dyDescent="0.3">
      <c r="B87" s="67" t="s">
        <v>140</v>
      </c>
      <c r="C87" s="67" t="s">
        <v>141</v>
      </c>
      <c r="D87" s="69">
        <v>37956.79</v>
      </c>
      <c r="E87" s="69">
        <v>1949.29</v>
      </c>
      <c r="F87" s="69">
        <v>39510.67</v>
      </c>
      <c r="G87" s="69">
        <f t="shared" si="2"/>
        <v>-37561.379999999997</v>
      </c>
      <c r="H87" s="69">
        <f t="shared" si="3"/>
        <v>395.41000000000349</v>
      </c>
      <c r="I87" s="78" t="s">
        <v>645</v>
      </c>
    </row>
    <row r="88" spans="2:9" x14ac:dyDescent="0.3">
      <c r="B88" s="75" t="s">
        <v>142</v>
      </c>
      <c r="C88" s="75" t="s">
        <v>143</v>
      </c>
      <c r="D88" s="76"/>
      <c r="E88" s="76"/>
      <c r="F88" s="76"/>
      <c r="G88" s="76">
        <f t="shared" si="2"/>
        <v>0</v>
      </c>
      <c r="H88" s="76">
        <f t="shared" si="3"/>
        <v>0</v>
      </c>
      <c r="I88" s="78" t="s">
        <v>644</v>
      </c>
    </row>
    <row r="89" spans="2:9" x14ac:dyDescent="0.3">
      <c r="B89" s="67" t="s">
        <v>144</v>
      </c>
      <c r="C89" s="67" t="s">
        <v>145</v>
      </c>
      <c r="D89" s="69">
        <v>0</v>
      </c>
      <c r="E89" s="69">
        <v>93143.05</v>
      </c>
      <c r="F89" s="69">
        <v>62730</v>
      </c>
      <c r="G89" s="69">
        <f t="shared" si="2"/>
        <v>30413.050000000003</v>
      </c>
      <c r="H89" s="69">
        <f t="shared" si="3"/>
        <v>30413.050000000003</v>
      </c>
      <c r="I89" s="78" t="s">
        <v>644</v>
      </c>
    </row>
    <row r="90" spans="2:9" x14ac:dyDescent="0.3">
      <c r="B90" s="67" t="s">
        <v>146</v>
      </c>
      <c r="C90" s="67" t="s">
        <v>147</v>
      </c>
      <c r="D90" s="69">
        <v>0</v>
      </c>
      <c r="E90" s="69">
        <v>186025.46</v>
      </c>
      <c r="F90" s="69">
        <v>77510.55</v>
      </c>
      <c r="G90" s="69">
        <f t="shared" si="2"/>
        <v>108514.90999999999</v>
      </c>
      <c r="H90" s="69">
        <f t="shared" si="3"/>
        <v>108514.90999999999</v>
      </c>
      <c r="I90" s="78" t="s">
        <v>644</v>
      </c>
    </row>
    <row r="91" spans="2:9" x14ac:dyDescent="0.3">
      <c r="B91" s="67" t="s">
        <v>148</v>
      </c>
      <c r="C91" s="67" t="s">
        <v>149</v>
      </c>
      <c r="D91" s="69">
        <v>0</v>
      </c>
      <c r="E91" s="69">
        <v>10843.87</v>
      </c>
      <c r="F91" s="69">
        <v>3943.2</v>
      </c>
      <c r="G91" s="69">
        <f t="shared" si="2"/>
        <v>6900.670000000001</v>
      </c>
      <c r="H91" s="69">
        <f t="shared" si="3"/>
        <v>6900.670000000001</v>
      </c>
      <c r="I91" s="78" t="s">
        <v>644</v>
      </c>
    </row>
    <row r="92" spans="2:9" x14ac:dyDescent="0.3">
      <c r="B92" s="67" t="s">
        <v>150</v>
      </c>
      <c r="C92" s="67" t="s">
        <v>151</v>
      </c>
      <c r="D92" s="69">
        <v>0</v>
      </c>
      <c r="E92" s="69">
        <v>46506.33</v>
      </c>
      <c r="F92" s="69">
        <v>46506.33</v>
      </c>
      <c r="G92" s="69">
        <f t="shared" si="2"/>
        <v>0</v>
      </c>
      <c r="H92" s="69">
        <f t="shared" si="3"/>
        <v>0</v>
      </c>
      <c r="I92" s="78" t="s">
        <v>644</v>
      </c>
    </row>
    <row r="93" spans="2:9" x14ac:dyDescent="0.3">
      <c r="B93" s="67" t="s">
        <v>152</v>
      </c>
      <c r="C93" s="67" t="s">
        <v>153</v>
      </c>
      <c r="D93" s="69">
        <v>0</v>
      </c>
      <c r="E93" s="69">
        <v>0</v>
      </c>
      <c r="F93" s="69">
        <v>7492.63</v>
      </c>
      <c r="G93" s="69">
        <f t="shared" si="2"/>
        <v>-7492.63</v>
      </c>
      <c r="H93" s="69">
        <f t="shared" si="3"/>
        <v>-7492.63</v>
      </c>
      <c r="I93" s="78" t="s">
        <v>644</v>
      </c>
    </row>
    <row r="94" spans="2:9" x14ac:dyDescent="0.3">
      <c r="B94" s="75" t="s">
        <v>154</v>
      </c>
      <c r="C94" s="75" t="s">
        <v>155</v>
      </c>
      <c r="D94" s="76"/>
      <c r="E94" s="76"/>
      <c r="F94" s="76"/>
      <c r="G94" s="76">
        <f t="shared" si="2"/>
        <v>0</v>
      </c>
      <c r="H94" s="76">
        <f t="shared" si="3"/>
        <v>0</v>
      </c>
      <c r="I94" s="78" t="s">
        <v>645</v>
      </c>
    </row>
    <row r="95" spans="2:9" x14ac:dyDescent="0.3">
      <c r="B95" s="67" t="s">
        <v>727</v>
      </c>
      <c r="C95" s="67" t="s">
        <v>728</v>
      </c>
      <c r="D95" s="69">
        <v>0</v>
      </c>
      <c r="E95" s="69">
        <v>3200</v>
      </c>
      <c r="F95" s="69">
        <v>3200</v>
      </c>
      <c r="G95" s="69">
        <f t="shared" si="2"/>
        <v>0</v>
      </c>
      <c r="H95" s="69">
        <f t="shared" si="3"/>
        <v>0</v>
      </c>
      <c r="I95" s="78" t="s">
        <v>645</v>
      </c>
    </row>
    <row r="96" spans="2:9" x14ac:dyDescent="0.3">
      <c r="B96" s="67" t="s">
        <v>729</v>
      </c>
      <c r="C96" s="67" t="s">
        <v>730</v>
      </c>
      <c r="D96" s="69">
        <v>0</v>
      </c>
      <c r="E96" s="69">
        <v>11211</v>
      </c>
      <c r="F96" s="69">
        <v>11211</v>
      </c>
      <c r="G96" s="69">
        <f t="shared" si="2"/>
        <v>0</v>
      </c>
      <c r="H96" s="69">
        <f t="shared" si="3"/>
        <v>0</v>
      </c>
      <c r="I96" s="78" t="s">
        <v>645</v>
      </c>
    </row>
    <row r="97" spans="2:9" x14ac:dyDescent="0.3">
      <c r="B97" s="67" t="s">
        <v>156</v>
      </c>
      <c r="C97" s="67" t="s">
        <v>157</v>
      </c>
      <c r="D97" s="69">
        <v>0</v>
      </c>
      <c r="E97" s="69">
        <v>156954.54</v>
      </c>
      <c r="F97" s="69">
        <v>46198.53</v>
      </c>
      <c r="G97" s="69">
        <f t="shared" si="2"/>
        <v>110756.01000000001</v>
      </c>
      <c r="H97" s="69">
        <f t="shared" si="3"/>
        <v>110756.01000000001</v>
      </c>
      <c r="I97" s="78" t="s">
        <v>645</v>
      </c>
    </row>
    <row r="98" spans="2:9" x14ac:dyDescent="0.3">
      <c r="B98" s="67" t="s">
        <v>158</v>
      </c>
      <c r="C98" s="67" t="s">
        <v>159</v>
      </c>
      <c r="D98" s="69">
        <v>0</v>
      </c>
      <c r="E98" s="69">
        <v>104098.21</v>
      </c>
      <c r="F98" s="69">
        <v>0</v>
      </c>
      <c r="G98" s="69">
        <f t="shared" si="2"/>
        <v>104098.21</v>
      </c>
      <c r="H98" s="69">
        <f t="shared" si="3"/>
        <v>104098.21</v>
      </c>
      <c r="I98" s="78" t="s">
        <v>645</v>
      </c>
    </row>
    <row r="99" spans="2:9" x14ac:dyDescent="0.3">
      <c r="B99" s="67" t="s">
        <v>731</v>
      </c>
      <c r="C99" s="67" t="s">
        <v>732</v>
      </c>
      <c r="D99" s="69">
        <v>0</v>
      </c>
      <c r="E99" s="69">
        <v>7185</v>
      </c>
      <c r="F99" s="69">
        <v>7185</v>
      </c>
      <c r="G99" s="69">
        <f t="shared" si="2"/>
        <v>0</v>
      </c>
      <c r="H99" s="69">
        <f t="shared" si="3"/>
        <v>0</v>
      </c>
      <c r="I99" s="78" t="s">
        <v>645</v>
      </c>
    </row>
    <row r="100" spans="2:9" x14ac:dyDescent="0.3">
      <c r="B100" s="67" t="s">
        <v>733</v>
      </c>
      <c r="C100" s="67" t="s">
        <v>734</v>
      </c>
      <c r="D100" s="69">
        <v>0</v>
      </c>
      <c r="E100" s="69">
        <v>6290</v>
      </c>
      <c r="F100" s="69">
        <v>6290</v>
      </c>
      <c r="G100" s="69">
        <f t="shared" si="2"/>
        <v>0</v>
      </c>
      <c r="H100" s="69">
        <f t="shared" si="3"/>
        <v>0</v>
      </c>
      <c r="I100" s="78" t="s">
        <v>645</v>
      </c>
    </row>
    <row r="101" spans="2:9" x14ac:dyDescent="0.3">
      <c r="B101" s="67" t="s">
        <v>735</v>
      </c>
      <c r="C101" s="67" t="s">
        <v>736</v>
      </c>
      <c r="D101" s="69">
        <v>0</v>
      </c>
      <c r="E101" s="69">
        <v>500</v>
      </c>
      <c r="F101" s="69">
        <v>500</v>
      </c>
      <c r="G101" s="69">
        <f t="shared" si="2"/>
        <v>0</v>
      </c>
      <c r="H101" s="69">
        <f t="shared" si="3"/>
        <v>0</v>
      </c>
      <c r="I101" s="78" t="s">
        <v>645</v>
      </c>
    </row>
    <row r="102" spans="2:9" x14ac:dyDescent="0.3">
      <c r="B102" s="67" t="s">
        <v>737</v>
      </c>
      <c r="C102" s="67" t="s">
        <v>738</v>
      </c>
      <c r="D102" s="69">
        <v>0</v>
      </c>
      <c r="E102" s="69">
        <v>200</v>
      </c>
      <c r="F102" s="69">
        <v>200</v>
      </c>
      <c r="G102" s="69">
        <f t="shared" si="2"/>
        <v>0</v>
      </c>
      <c r="H102" s="69">
        <f t="shared" si="3"/>
        <v>0</v>
      </c>
      <c r="I102" s="78" t="s">
        <v>645</v>
      </c>
    </row>
    <row r="103" spans="2:9" x14ac:dyDescent="0.3">
      <c r="B103" s="67" t="s">
        <v>160</v>
      </c>
      <c r="C103" s="67" t="s">
        <v>161</v>
      </c>
      <c r="D103" s="69">
        <v>0</v>
      </c>
      <c r="E103" s="69">
        <v>22695</v>
      </c>
      <c r="F103" s="69">
        <v>30400.53</v>
      </c>
      <c r="G103" s="69">
        <f t="shared" si="2"/>
        <v>-7705.5299999999988</v>
      </c>
      <c r="H103" s="69">
        <f t="shared" si="3"/>
        <v>-7705.5299999999988</v>
      </c>
      <c r="I103" s="78" t="s">
        <v>645</v>
      </c>
    </row>
    <row r="104" spans="2:9" x14ac:dyDescent="0.3">
      <c r="B104" s="67" t="s">
        <v>162</v>
      </c>
      <c r="C104" s="67" t="s">
        <v>163</v>
      </c>
      <c r="D104" s="69">
        <v>0</v>
      </c>
      <c r="E104" s="69">
        <v>10300</v>
      </c>
      <c r="F104" s="69">
        <v>900</v>
      </c>
      <c r="G104" s="69">
        <f t="shared" si="2"/>
        <v>9400</v>
      </c>
      <c r="H104" s="69">
        <f t="shared" si="3"/>
        <v>9400</v>
      </c>
      <c r="I104" s="78" t="s">
        <v>645</v>
      </c>
    </row>
    <row r="105" spans="2:9" x14ac:dyDescent="0.3">
      <c r="B105" s="67" t="s">
        <v>164</v>
      </c>
      <c r="C105" s="67" t="s">
        <v>165</v>
      </c>
      <c r="D105" s="69">
        <v>0</v>
      </c>
      <c r="E105" s="69">
        <v>8417</v>
      </c>
      <c r="F105" s="69">
        <v>16291</v>
      </c>
      <c r="G105" s="69">
        <f t="shared" si="2"/>
        <v>-7874</v>
      </c>
      <c r="H105" s="69">
        <f t="shared" si="3"/>
        <v>-7874</v>
      </c>
      <c r="I105" s="78" t="s">
        <v>645</v>
      </c>
    </row>
    <row r="106" spans="2:9" x14ac:dyDescent="0.3">
      <c r="B106" s="67" t="s">
        <v>166</v>
      </c>
      <c r="C106" s="67" t="s">
        <v>167</v>
      </c>
      <c r="D106" s="69">
        <v>0</v>
      </c>
      <c r="E106" s="69">
        <v>81540.33</v>
      </c>
      <c r="F106" s="69">
        <v>0</v>
      </c>
      <c r="G106" s="69">
        <f t="shared" si="2"/>
        <v>81540.33</v>
      </c>
      <c r="H106" s="69">
        <f t="shared" si="3"/>
        <v>81540.33</v>
      </c>
      <c r="I106" s="78" t="s">
        <v>645</v>
      </c>
    </row>
    <row r="107" spans="2:9" x14ac:dyDescent="0.3">
      <c r="B107" s="67" t="s">
        <v>739</v>
      </c>
      <c r="C107" s="67" t="s">
        <v>740</v>
      </c>
      <c r="D107" s="69">
        <v>0</v>
      </c>
      <c r="E107" s="69">
        <v>600</v>
      </c>
      <c r="F107" s="69">
        <v>600</v>
      </c>
      <c r="G107" s="69">
        <f t="shared" si="2"/>
        <v>0</v>
      </c>
      <c r="H107" s="69">
        <f t="shared" si="3"/>
        <v>0</v>
      </c>
      <c r="I107" s="78" t="s">
        <v>645</v>
      </c>
    </row>
    <row r="108" spans="2:9" x14ac:dyDescent="0.3">
      <c r="B108" s="67" t="s">
        <v>741</v>
      </c>
      <c r="C108" s="67" t="s">
        <v>742</v>
      </c>
      <c r="D108" s="69">
        <v>0</v>
      </c>
      <c r="E108" s="69">
        <v>600</v>
      </c>
      <c r="F108" s="69">
        <v>600</v>
      </c>
      <c r="G108" s="69">
        <f t="shared" si="2"/>
        <v>0</v>
      </c>
      <c r="H108" s="69">
        <f t="shared" si="3"/>
        <v>0</v>
      </c>
      <c r="I108" s="78" t="s">
        <v>645</v>
      </c>
    </row>
    <row r="109" spans="2:9" x14ac:dyDescent="0.3">
      <c r="B109" s="67" t="s">
        <v>743</v>
      </c>
      <c r="C109" s="67" t="s">
        <v>744</v>
      </c>
      <c r="D109" s="69">
        <v>0</v>
      </c>
      <c r="E109" s="69">
        <v>600</v>
      </c>
      <c r="F109" s="69">
        <v>600</v>
      </c>
      <c r="G109" s="69">
        <f t="shared" si="2"/>
        <v>0</v>
      </c>
      <c r="H109" s="69">
        <f t="shared" si="3"/>
        <v>0</v>
      </c>
      <c r="I109" s="78" t="s">
        <v>645</v>
      </c>
    </row>
    <row r="110" spans="2:9" x14ac:dyDescent="0.3">
      <c r="B110" s="67" t="s">
        <v>168</v>
      </c>
      <c r="C110" s="67" t="s">
        <v>169</v>
      </c>
      <c r="D110" s="69">
        <v>0</v>
      </c>
      <c r="E110" s="69">
        <v>4200</v>
      </c>
      <c r="F110" s="69">
        <v>1333</v>
      </c>
      <c r="G110" s="69">
        <f t="shared" si="2"/>
        <v>2867</v>
      </c>
      <c r="H110" s="69">
        <f t="shared" si="3"/>
        <v>2867</v>
      </c>
      <c r="I110" s="78" t="s">
        <v>645</v>
      </c>
    </row>
    <row r="111" spans="2:9" x14ac:dyDescent="0.3">
      <c r="B111" s="67" t="s">
        <v>745</v>
      </c>
      <c r="C111" s="67" t="s">
        <v>746</v>
      </c>
      <c r="D111" s="69">
        <v>0</v>
      </c>
      <c r="E111" s="69">
        <v>300</v>
      </c>
      <c r="F111" s="69">
        <v>300</v>
      </c>
      <c r="G111" s="69">
        <f t="shared" si="2"/>
        <v>0</v>
      </c>
      <c r="H111" s="69">
        <f t="shared" si="3"/>
        <v>0</v>
      </c>
      <c r="I111" s="78" t="s">
        <v>645</v>
      </c>
    </row>
    <row r="112" spans="2:9" x14ac:dyDescent="0.3">
      <c r="B112" s="67" t="s">
        <v>747</v>
      </c>
      <c r="C112" s="67" t="s">
        <v>748</v>
      </c>
      <c r="D112" s="69">
        <v>0</v>
      </c>
      <c r="E112" s="69">
        <v>600</v>
      </c>
      <c r="F112" s="69">
        <v>600</v>
      </c>
      <c r="G112" s="69">
        <f t="shared" si="2"/>
        <v>0</v>
      </c>
      <c r="H112" s="69">
        <f t="shared" si="3"/>
        <v>0</v>
      </c>
      <c r="I112" s="78" t="s">
        <v>645</v>
      </c>
    </row>
    <row r="113" spans="2:9" x14ac:dyDescent="0.3">
      <c r="B113" s="75" t="s">
        <v>170</v>
      </c>
      <c r="C113" s="75" t="s">
        <v>171</v>
      </c>
      <c r="D113" s="76"/>
      <c r="E113" s="76"/>
      <c r="F113" s="76"/>
      <c r="G113" s="76">
        <f t="shared" si="2"/>
        <v>0</v>
      </c>
      <c r="H113" s="76">
        <f t="shared" si="3"/>
        <v>0</v>
      </c>
      <c r="I113" s="78" t="s">
        <v>645</v>
      </c>
    </row>
    <row r="114" spans="2:9" x14ac:dyDescent="0.3">
      <c r="B114" s="67" t="s">
        <v>172</v>
      </c>
      <c r="C114" s="67" t="s">
        <v>173</v>
      </c>
      <c r="D114" s="69">
        <v>0</v>
      </c>
      <c r="E114" s="69">
        <v>154069.01</v>
      </c>
      <c r="F114" s="69">
        <v>203808</v>
      </c>
      <c r="G114" s="69">
        <f t="shared" si="2"/>
        <v>-49738.989999999991</v>
      </c>
      <c r="H114" s="69">
        <f t="shared" si="3"/>
        <v>-49738.989999999991</v>
      </c>
      <c r="I114" s="78" t="s">
        <v>645</v>
      </c>
    </row>
    <row r="115" spans="2:9" x14ac:dyDescent="0.3">
      <c r="B115" s="67" t="s">
        <v>174</v>
      </c>
      <c r="C115" s="67" t="s">
        <v>175</v>
      </c>
      <c r="D115" s="69">
        <v>0</v>
      </c>
      <c r="E115" s="69">
        <v>322288.65000000002</v>
      </c>
      <c r="F115" s="69">
        <v>303651.75</v>
      </c>
      <c r="G115" s="69">
        <f t="shared" si="2"/>
        <v>18636.900000000023</v>
      </c>
      <c r="H115" s="69">
        <f t="shared" si="3"/>
        <v>18636.900000000023</v>
      </c>
      <c r="I115" s="78" t="s">
        <v>645</v>
      </c>
    </row>
    <row r="116" spans="2:9" x14ac:dyDescent="0.3">
      <c r="B116" s="67" t="s">
        <v>749</v>
      </c>
      <c r="C116" s="67" t="s">
        <v>750</v>
      </c>
      <c r="D116" s="69">
        <v>0</v>
      </c>
      <c r="E116" s="69">
        <v>257525</v>
      </c>
      <c r="F116" s="69">
        <v>257525</v>
      </c>
      <c r="G116" s="69">
        <f t="shared" si="2"/>
        <v>0</v>
      </c>
      <c r="H116" s="69">
        <f t="shared" si="3"/>
        <v>0</v>
      </c>
      <c r="I116" s="78" t="s">
        <v>645</v>
      </c>
    </row>
    <row r="117" spans="2:9" x14ac:dyDescent="0.3">
      <c r="B117" s="67" t="s">
        <v>751</v>
      </c>
      <c r="C117" s="67" t="s">
        <v>752</v>
      </c>
      <c r="D117" s="69">
        <v>0</v>
      </c>
      <c r="E117" s="69">
        <v>2000</v>
      </c>
      <c r="F117" s="69">
        <v>2000</v>
      </c>
      <c r="G117" s="69">
        <f t="shared" si="2"/>
        <v>0</v>
      </c>
      <c r="H117" s="69">
        <f t="shared" si="3"/>
        <v>0</v>
      </c>
      <c r="I117" s="78" t="s">
        <v>645</v>
      </c>
    </row>
    <row r="118" spans="2:9" x14ac:dyDescent="0.3">
      <c r="B118" s="67" t="s">
        <v>176</v>
      </c>
      <c r="C118" s="67" t="s">
        <v>177</v>
      </c>
      <c r="D118" s="69">
        <v>0</v>
      </c>
      <c r="E118" s="69">
        <v>21045</v>
      </c>
      <c r="F118" s="69">
        <v>8625</v>
      </c>
      <c r="G118" s="69">
        <f t="shared" si="2"/>
        <v>12420</v>
      </c>
      <c r="H118" s="69">
        <f t="shared" si="3"/>
        <v>12420</v>
      </c>
      <c r="I118" s="78" t="s">
        <v>645</v>
      </c>
    </row>
    <row r="119" spans="2:9" x14ac:dyDescent="0.3">
      <c r="B119" s="67" t="s">
        <v>178</v>
      </c>
      <c r="C119" s="67" t="s">
        <v>179</v>
      </c>
      <c r="D119" s="69">
        <v>0</v>
      </c>
      <c r="E119" s="69">
        <v>7439.29</v>
      </c>
      <c r="F119" s="69">
        <v>26762.49</v>
      </c>
      <c r="G119" s="69">
        <f t="shared" si="2"/>
        <v>-19323.2</v>
      </c>
      <c r="H119" s="69">
        <f t="shared" si="3"/>
        <v>-19323.2</v>
      </c>
      <c r="I119" s="78" t="s">
        <v>645</v>
      </c>
    </row>
    <row r="120" spans="2:9" x14ac:dyDescent="0.3">
      <c r="B120" s="67" t="s">
        <v>180</v>
      </c>
      <c r="C120" s="67" t="s">
        <v>181</v>
      </c>
      <c r="D120" s="69">
        <v>0</v>
      </c>
      <c r="E120" s="69">
        <v>650000</v>
      </c>
      <c r="F120" s="69">
        <v>0</v>
      </c>
      <c r="G120" s="69">
        <f t="shared" si="2"/>
        <v>650000</v>
      </c>
      <c r="H120" s="69">
        <f t="shared" si="3"/>
        <v>650000</v>
      </c>
      <c r="I120" s="78" t="s">
        <v>645</v>
      </c>
    </row>
    <row r="121" spans="2:9" x14ac:dyDescent="0.3">
      <c r="B121" s="67" t="s">
        <v>182</v>
      </c>
      <c r="C121" s="67" t="s">
        <v>183</v>
      </c>
      <c r="D121" s="69">
        <v>0</v>
      </c>
      <c r="E121" s="69">
        <v>200</v>
      </c>
      <c r="F121" s="69">
        <v>0</v>
      </c>
      <c r="G121" s="69">
        <f t="shared" si="2"/>
        <v>200</v>
      </c>
      <c r="H121" s="69">
        <f t="shared" si="3"/>
        <v>200</v>
      </c>
      <c r="I121" s="78" t="s">
        <v>645</v>
      </c>
    </row>
    <row r="122" spans="2:9" x14ac:dyDescent="0.3">
      <c r="B122" s="75" t="s">
        <v>184</v>
      </c>
      <c r="C122" s="75" t="s">
        <v>185</v>
      </c>
      <c r="D122" s="76"/>
      <c r="E122" s="76"/>
      <c r="F122" s="76"/>
      <c r="G122" s="76">
        <f t="shared" si="2"/>
        <v>0</v>
      </c>
      <c r="H122" s="76">
        <f t="shared" si="3"/>
        <v>0</v>
      </c>
    </row>
    <row r="123" spans="2:9" x14ac:dyDescent="0.3">
      <c r="B123" s="67" t="s">
        <v>186</v>
      </c>
      <c r="C123" s="67" t="s">
        <v>187</v>
      </c>
      <c r="D123" s="69">
        <v>534075.65</v>
      </c>
      <c r="E123" s="69">
        <v>4648096.53</v>
      </c>
      <c r="F123" s="69">
        <v>3825897.59</v>
      </c>
      <c r="G123" s="69">
        <f t="shared" si="2"/>
        <v>822198.94000000041</v>
      </c>
      <c r="H123" s="69">
        <f t="shared" si="3"/>
        <v>1356274.5900000003</v>
      </c>
      <c r="I123" s="78" t="s">
        <v>641</v>
      </c>
    </row>
    <row r="124" spans="2:9" x14ac:dyDescent="0.3">
      <c r="B124" s="67" t="s">
        <v>188</v>
      </c>
      <c r="C124" s="67" t="s">
        <v>189</v>
      </c>
      <c r="D124" s="69">
        <v>0</v>
      </c>
      <c r="E124" s="69">
        <v>11867633.6</v>
      </c>
      <c r="F124" s="69">
        <v>12231022.800000001</v>
      </c>
      <c r="G124" s="69">
        <f t="shared" si="2"/>
        <v>-363389.20000000112</v>
      </c>
      <c r="H124" s="69">
        <f t="shared" si="3"/>
        <v>-363389.20000000112</v>
      </c>
      <c r="I124" s="78" t="s">
        <v>641</v>
      </c>
    </row>
    <row r="125" spans="2:9" x14ac:dyDescent="0.3">
      <c r="B125" s="67" t="s">
        <v>190</v>
      </c>
      <c r="C125" s="67" t="s">
        <v>191</v>
      </c>
      <c r="D125" s="69">
        <v>0</v>
      </c>
      <c r="E125" s="69">
        <v>3560020.23</v>
      </c>
      <c r="F125" s="69">
        <v>3560020.23</v>
      </c>
      <c r="G125" s="69">
        <f t="shared" si="2"/>
        <v>0</v>
      </c>
      <c r="H125" s="69">
        <f t="shared" si="3"/>
        <v>0</v>
      </c>
      <c r="I125" s="78" t="s">
        <v>641</v>
      </c>
    </row>
    <row r="126" spans="2:9" x14ac:dyDescent="0.3">
      <c r="B126" s="75" t="s">
        <v>192</v>
      </c>
      <c r="C126" s="75" t="s">
        <v>193</v>
      </c>
      <c r="D126" s="76"/>
      <c r="E126" s="76"/>
      <c r="F126" s="76"/>
      <c r="G126" s="76">
        <f t="shared" si="2"/>
        <v>0</v>
      </c>
      <c r="H126" s="76">
        <f t="shared" si="3"/>
        <v>0</v>
      </c>
    </row>
    <row r="127" spans="2:9" x14ac:dyDescent="0.3">
      <c r="B127" s="67" t="s">
        <v>194</v>
      </c>
      <c r="C127" s="67" t="s">
        <v>195</v>
      </c>
      <c r="D127" s="69">
        <v>0</v>
      </c>
      <c r="E127" s="69">
        <v>1177446.67</v>
      </c>
      <c r="F127" s="69">
        <v>139521.79999999999</v>
      </c>
      <c r="G127" s="69">
        <f t="shared" si="2"/>
        <v>1037924.8699999999</v>
      </c>
      <c r="H127" s="69">
        <f t="shared" si="3"/>
        <v>1037924.8699999999</v>
      </c>
      <c r="I127" s="6" t="s">
        <v>629</v>
      </c>
    </row>
    <row r="128" spans="2:9" x14ac:dyDescent="0.3">
      <c r="B128" s="67" t="s">
        <v>196</v>
      </c>
      <c r="C128" s="67" t="s">
        <v>197</v>
      </c>
      <c r="D128" s="69">
        <v>0</v>
      </c>
      <c r="E128" s="69">
        <v>51021.8</v>
      </c>
      <c r="F128" s="69">
        <v>0</v>
      </c>
      <c r="G128" s="69">
        <f t="shared" si="2"/>
        <v>51021.8</v>
      </c>
      <c r="H128" s="69">
        <f t="shared" si="3"/>
        <v>51021.8</v>
      </c>
      <c r="I128" s="6" t="s">
        <v>629</v>
      </c>
    </row>
    <row r="129" spans="2:9" x14ac:dyDescent="0.3">
      <c r="B129" s="67" t="s">
        <v>198</v>
      </c>
      <c r="C129" s="67" t="s">
        <v>199</v>
      </c>
      <c r="D129" s="69">
        <v>0</v>
      </c>
      <c r="E129" s="69">
        <v>5109.13</v>
      </c>
      <c r="F129" s="69">
        <v>0</v>
      </c>
      <c r="G129" s="69">
        <f t="shared" si="2"/>
        <v>5109.13</v>
      </c>
      <c r="H129" s="69">
        <f t="shared" si="3"/>
        <v>5109.13</v>
      </c>
      <c r="I129" s="6" t="s">
        <v>629</v>
      </c>
    </row>
    <row r="130" spans="2:9" x14ac:dyDescent="0.3">
      <c r="B130" s="67" t="s">
        <v>200</v>
      </c>
      <c r="C130" s="67" t="s">
        <v>201</v>
      </c>
      <c r="D130" s="69">
        <v>0</v>
      </c>
      <c r="E130" s="69">
        <v>88500</v>
      </c>
      <c r="F130" s="69">
        <v>0</v>
      </c>
      <c r="G130" s="69">
        <f t="shared" si="2"/>
        <v>88500</v>
      </c>
      <c r="H130" s="69">
        <f t="shared" si="3"/>
        <v>88500</v>
      </c>
      <c r="I130" s="6" t="s">
        <v>629</v>
      </c>
    </row>
    <row r="131" spans="2:9" x14ac:dyDescent="0.3">
      <c r="B131" s="67" t="s">
        <v>202</v>
      </c>
      <c r="C131" s="67" t="s">
        <v>203</v>
      </c>
      <c r="D131" s="69">
        <v>0</v>
      </c>
      <c r="E131" s="69">
        <v>40000</v>
      </c>
      <c r="F131" s="69">
        <v>0</v>
      </c>
      <c r="G131" s="69">
        <f t="shared" si="2"/>
        <v>40000</v>
      </c>
      <c r="H131" s="69">
        <f t="shared" si="3"/>
        <v>40000</v>
      </c>
      <c r="I131" s="6" t="s">
        <v>629</v>
      </c>
    </row>
    <row r="132" spans="2:9" x14ac:dyDescent="0.3">
      <c r="B132" s="75" t="s">
        <v>204</v>
      </c>
      <c r="C132" s="75" t="s">
        <v>205</v>
      </c>
      <c r="D132" s="76"/>
      <c r="E132" s="76"/>
      <c r="F132" s="76"/>
      <c r="G132" s="76">
        <f t="shared" si="2"/>
        <v>0</v>
      </c>
      <c r="H132" s="76">
        <f t="shared" si="3"/>
        <v>0</v>
      </c>
      <c r="I132" s="6" t="s">
        <v>629</v>
      </c>
    </row>
    <row r="133" spans="2:9" x14ac:dyDescent="0.3">
      <c r="B133" s="67" t="s">
        <v>206</v>
      </c>
      <c r="C133" s="67" t="s">
        <v>207</v>
      </c>
      <c r="D133" s="69">
        <v>0</v>
      </c>
      <c r="E133" s="69">
        <v>0</v>
      </c>
      <c r="F133" s="69">
        <v>53505.71</v>
      </c>
      <c r="G133" s="69">
        <f t="shared" si="2"/>
        <v>-53505.71</v>
      </c>
      <c r="H133" s="69">
        <f t="shared" si="3"/>
        <v>-53505.71</v>
      </c>
      <c r="I133" s="6" t="s">
        <v>629</v>
      </c>
    </row>
    <row r="134" spans="2:9" x14ac:dyDescent="0.3">
      <c r="B134" s="67" t="s">
        <v>208</v>
      </c>
      <c r="C134" s="67" t="s">
        <v>209</v>
      </c>
      <c r="D134" s="69">
        <v>0</v>
      </c>
      <c r="E134" s="69">
        <v>0</v>
      </c>
      <c r="F134" s="69">
        <v>4303.32</v>
      </c>
      <c r="G134" s="69">
        <f t="shared" si="2"/>
        <v>-4303.32</v>
      </c>
      <c r="H134" s="69">
        <f t="shared" si="3"/>
        <v>-4303.32</v>
      </c>
      <c r="I134" s="6" t="s">
        <v>629</v>
      </c>
    </row>
    <row r="135" spans="2:9" x14ac:dyDescent="0.3">
      <c r="B135" s="67" t="s">
        <v>210</v>
      </c>
      <c r="C135" s="67" t="s">
        <v>211</v>
      </c>
      <c r="D135" s="69">
        <v>0</v>
      </c>
      <c r="E135" s="69">
        <v>0</v>
      </c>
      <c r="F135" s="69">
        <v>33359.54</v>
      </c>
      <c r="G135" s="69">
        <f t="shared" si="2"/>
        <v>-33359.54</v>
      </c>
      <c r="H135" s="69">
        <f t="shared" si="3"/>
        <v>-33359.54</v>
      </c>
      <c r="I135" s="6" t="s">
        <v>629</v>
      </c>
    </row>
    <row r="136" spans="2:9" x14ac:dyDescent="0.3">
      <c r="B136" s="67" t="s">
        <v>212</v>
      </c>
      <c r="C136" s="67" t="s">
        <v>213</v>
      </c>
      <c r="D136" s="69">
        <v>0</v>
      </c>
      <c r="E136" s="69">
        <v>0</v>
      </c>
      <c r="F136" s="69">
        <v>409.18</v>
      </c>
      <c r="G136" s="69">
        <f t="shared" ref="G136:G199" si="4">E136-F136</f>
        <v>-409.18</v>
      </c>
      <c r="H136" s="69">
        <f t="shared" ref="H136:H199" si="5">D136+G136</f>
        <v>-409.18</v>
      </c>
      <c r="I136" s="6" t="s">
        <v>629</v>
      </c>
    </row>
    <row r="137" spans="2:9" x14ac:dyDescent="0.3">
      <c r="B137" s="67" t="s">
        <v>214</v>
      </c>
      <c r="C137" s="67" t="s">
        <v>215</v>
      </c>
      <c r="D137" s="69">
        <v>0</v>
      </c>
      <c r="E137" s="69">
        <v>0</v>
      </c>
      <c r="F137" s="69">
        <v>28603.55</v>
      </c>
      <c r="G137" s="69">
        <f t="shared" si="4"/>
        <v>-28603.55</v>
      </c>
      <c r="H137" s="69">
        <f t="shared" si="5"/>
        <v>-28603.55</v>
      </c>
      <c r="I137" s="6" t="s">
        <v>629</v>
      </c>
    </row>
    <row r="138" spans="2:9" x14ac:dyDescent="0.3">
      <c r="B138" s="67" t="s">
        <v>216</v>
      </c>
      <c r="C138" s="67" t="s">
        <v>217</v>
      </c>
      <c r="D138" s="69">
        <v>0</v>
      </c>
      <c r="E138" s="69">
        <v>0</v>
      </c>
      <c r="F138" s="69">
        <v>2297.83</v>
      </c>
      <c r="G138" s="69">
        <f t="shared" si="4"/>
        <v>-2297.83</v>
      </c>
      <c r="H138" s="69">
        <f t="shared" si="5"/>
        <v>-2297.83</v>
      </c>
      <c r="I138" s="6" t="s">
        <v>629</v>
      </c>
    </row>
    <row r="139" spans="2:9" x14ac:dyDescent="0.3">
      <c r="B139" s="67" t="s">
        <v>218</v>
      </c>
      <c r="C139" s="67" t="s">
        <v>219</v>
      </c>
      <c r="D139" s="69">
        <v>0</v>
      </c>
      <c r="E139" s="69">
        <v>0</v>
      </c>
      <c r="F139" s="69">
        <v>263.93</v>
      </c>
      <c r="G139" s="69">
        <f t="shared" si="4"/>
        <v>-263.93</v>
      </c>
      <c r="H139" s="69">
        <f t="shared" si="5"/>
        <v>-263.93</v>
      </c>
      <c r="I139" s="6" t="s">
        <v>629</v>
      </c>
    </row>
    <row r="140" spans="2:9" x14ac:dyDescent="0.3">
      <c r="B140" s="75" t="s">
        <v>220</v>
      </c>
      <c r="C140" s="75" t="s">
        <v>221</v>
      </c>
      <c r="D140" s="76"/>
      <c r="E140" s="76"/>
      <c r="F140" s="76"/>
      <c r="G140" s="76">
        <f t="shared" si="4"/>
        <v>0</v>
      </c>
      <c r="H140" s="76">
        <f t="shared" si="5"/>
        <v>0</v>
      </c>
      <c r="I140" s="6" t="s">
        <v>629</v>
      </c>
    </row>
    <row r="141" spans="2:9" x14ac:dyDescent="0.3">
      <c r="B141" s="67" t="s">
        <v>222</v>
      </c>
      <c r="C141" s="67" t="s">
        <v>223</v>
      </c>
      <c r="D141" s="69">
        <v>0</v>
      </c>
      <c r="E141" s="69">
        <v>98652.75</v>
      </c>
      <c r="F141" s="69">
        <v>97710.9</v>
      </c>
      <c r="G141" s="69">
        <f t="shared" si="4"/>
        <v>941.85000000000582</v>
      </c>
      <c r="H141" s="69">
        <f t="shared" si="5"/>
        <v>941.85000000000582</v>
      </c>
      <c r="I141" s="78" t="s">
        <v>686</v>
      </c>
    </row>
    <row r="142" spans="2:9" x14ac:dyDescent="0.3">
      <c r="B142" s="67" t="s">
        <v>224</v>
      </c>
      <c r="C142" s="67" t="s">
        <v>225</v>
      </c>
      <c r="D142" s="69">
        <v>0</v>
      </c>
      <c r="E142" s="69">
        <v>13528.5</v>
      </c>
      <c r="F142" s="69">
        <v>13650.38</v>
      </c>
      <c r="G142" s="69">
        <f t="shared" si="4"/>
        <v>-121.8799999999992</v>
      </c>
      <c r="H142" s="69">
        <f t="shared" si="5"/>
        <v>-121.8799999999992</v>
      </c>
      <c r="I142" s="78" t="s">
        <v>686</v>
      </c>
    </row>
    <row r="143" spans="2:9" x14ac:dyDescent="0.3">
      <c r="B143" s="67" t="s">
        <v>226</v>
      </c>
      <c r="C143" s="67" t="s">
        <v>227</v>
      </c>
      <c r="D143" s="69">
        <v>0</v>
      </c>
      <c r="E143" s="69">
        <v>100000</v>
      </c>
      <c r="F143" s="69">
        <v>0</v>
      </c>
      <c r="G143" s="69">
        <f t="shared" si="4"/>
        <v>100000</v>
      </c>
      <c r="H143" s="69">
        <f t="shared" si="5"/>
        <v>100000</v>
      </c>
      <c r="I143" s="78" t="s">
        <v>686</v>
      </c>
    </row>
    <row r="144" spans="2:9" x14ac:dyDescent="0.3">
      <c r="B144" s="67" t="s">
        <v>228</v>
      </c>
      <c r="C144" s="67" t="s">
        <v>229</v>
      </c>
      <c r="D144" s="69">
        <v>0</v>
      </c>
      <c r="E144" s="69">
        <v>264098.88</v>
      </c>
      <c r="F144" s="69">
        <v>0</v>
      </c>
      <c r="G144" s="69">
        <f t="shared" si="4"/>
        <v>264098.88</v>
      </c>
      <c r="H144" s="69">
        <f t="shared" si="5"/>
        <v>264098.88</v>
      </c>
      <c r="I144" s="78" t="s">
        <v>686</v>
      </c>
    </row>
    <row r="145" spans="2:9" x14ac:dyDescent="0.3">
      <c r="B145" s="67" t="s">
        <v>230</v>
      </c>
      <c r="C145" s="67" t="s">
        <v>231</v>
      </c>
      <c r="D145" s="69">
        <v>0</v>
      </c>
      <c r="E145" s="69">
        <v>0</v>
      </c>
      <c r="F145" s="69">
        <v>415.5</v>
      </c>
      <c r="G145" s="69">
        <f t="shared" si="4"/>
        <v>-415.5</v>
      </c>
      <c r="H145" s="69">
        <f t="shared" si="5"/>
        <v>-415.5</v>
      </c>
      <c r="I145" s="78" t="s">
        <v>686</v>
      </c>
    </row>
    <row r="146" spans="2:9" x14ac:dyDescent="0.3">
      <c r="B146" s="67" t="s">
        <v>753</v>
      </c>
      <c r="C146" s="67" t="s">
        <v>754</v>
      </c>
      <c r="D146" s="69">
        <v>0</v>
      </c>
      <c r="E146" s="69">
        <v>12038.2</v>
      </c>
      <c r="F146" s="69">
        <v>12038.2</v>
      </c>
      <c r="G146" s="69">
        <f t="shared" si="4"/>
        <v>0</v>
      </c>
      <c r="H146" s="69">
        <f t="shared" si="5"/>
        <v>0</v>
      </c>
      <c r="I146" s="78" t="s">
        <v>686</v>
      </c>
    </row>
    <row r="147" spans="2:9" x14ac:dyDescent="0.3">
      <c r="B147" s="67" t="s">
        <v>755</v>
      </c>
      <c r="C147" s="67" t="s">
        <v>756</v>
      </c>
      <c r="D147" s="69">
        <v>0</v>
      </c>
      <c r="E147" s="69">
        <v>183002.49</v>
      </c>
      <c r="F147" s="69">
        <v>183002.49</v>
      </c>
      <c r="G147" s="69">
        <f t="shared" si="4"/>
        <v>0</v>
      </c>
      <c r="H147" s="69">
        <f t="shared" si="5"/>
        <v>0</v>
      </c>
      <c r="I147" s="78" t="s">
        <v>686</v>
      </c>
    </row>
    <row r="148" spans="2:9" x14ac:dyDescent="0.3">
      <c r="B148" s="67" t="s">
        <v>232</v>
      </c>
      <c r="C148" s="67" t="s">
        <v>233</v>
      </c>
      <c r="D148" s="69">
        <v>0</v>
      </c>
      <c r="E148" s="69">
        <v>19033.66</v>
      </c>
      <c r="F148" s="69">
        <v>20165.34</v>
      </c>
      <c r="G148" s="69">
        <f t="shared" si="4"/>
        <v>-1131.6800000000003</v>
      </c>
      <c r="H148" s="69">
        <f t="shared" si="5"/>
        <v>-1131.6800000000003</v>
      </c>
      <c r="I148" s="78" t="s">
        <v>686</v>
      </c>
    </row>
    <row r="149" spans="2:9" x14ac:dyDescent="0.3">
      <c r="B149" s="67" t="s">
        <v>757</v>
      </c>
      <c r="C149" s="67" t="s">
        <v>758</v>
      </c>
      <c r="D149" s="69">
        <v>0</v>
      </c>
      <c r="E149" s="69">
        <v>706030</v>
      </c>
      <c r="F149" s="69">
        <v>706030</v>
      </c>
      <c r="G149" s="69">
        <f t="shared" si="4"/>
        <v>0</v>
      </c>
      <c r="H149" s="69">
        <f t="shared" si="5"/>
        <v>0</v>
      </c>
      <c r="I149" s="78" t="s">
        <v>686</v>
      </c>
    </row>
    <row r="150" spans="2:9" x14ac:dyDescent="0.3">
      <c r="B150" s="67" t="s">
        <v>234</v>
      </c>
      <c r="C150" s="67" t="s">
        <v>235</v>
      </c>
      <c r="D150" s="69">
        <v>-534075.65</v>
      </c>
      <c r="E150" s="69">
        <v>0</v>
      </c>
      <c r="F150" s="69">
        <v>859664.68</v>
      </c>
      <c r="G150" s="69">
        <f t="shared" si="4"/>
        <v>-859664.68</v>
      </c>
      <c r="H150" s="69">
        <f t="shared" si="5"/>
        <v>-1393740.33</v>
      </c>
      <c r="I150" s="78" t="s">
        <v>647</v>
      </c>
    </row>
    <row r="151" spans="2:9" x14ac:dyDescent="0.3">
      <c r="B151" s="67" t="s">
        <v>759</v>
      </c>
      <c r="C151" s="67" t="s">
        <v>760</v>
      </c>
      <c r="D151" s="69">
        <v>0</v>
      </c>
      <c r="E151" s="69">
        <v>3570</v>
      </c>
      <c r="F151" s="69">
        <v>3570</v>
      </c>
      <c r="G151" s="69">
        <f t="shared" si="4"/>
        <v>0</v>
      </c>
      <c r="H151" s="69">
        <f t="shared" si="5"/>
        <v>0</v>
      </c>
      <c r="I151" s="78" t="s">
        <v>686</v>
      </c>
    </row>
    <row r="152" spans="2:9" x14ac:dyDescent="0.3">
      <c r="B152" s="67" t="s">
        <v>236</v>
      </c>
      <c r="C152" s="67" t="s">
        <v>237</v>
      </c>
      <c r="D152" s="69">
        <v>0</v>
      </c>
      <c r="E152" s="69">
        <v>11950.15</v>
      </c>
      <c r="F152" s="69">
        <v>11949.9</v>
      </c>
      <c r="G152" s="69">
        <f t="shared" si="4"/>
        <v>0.25</v>
      </c>
      <c r="H152" s="69">
        <f t="shared" si="5"/>
        <v>0.25</v>
      </c>
      <c r="I152" s="78" t="s">
        <v>686</v>
      </c>
    </row>
    <row r="153" spans="2:9" x14ac:dyDescent="0.3">
      <c r="B153" s="67" t="s">
        <v>238</v>
      </c>
      <c r="C153" s="67" t="s">
        <v>239</v>
      </c>
      <c r="D153" s="69">
        <v>0</v>
      </c>
      <c r="E153" s="69">
        <v>23887.9</v>
      </c>
      <c r="F153" s="69">
        <v>23887.8</v>
      </c>
      <c r="G153" s="69">
        <f t="shared" si="4"/>
        <v>0.10000000000218279</v>
      </c>
      <c r="H153" s="69">
        <f t="shared" si="5"/>
        <v>0.10000000000218279</v>
      </c>
      <c r="I153" s="78" t="s">
        <v>686</v>
      </c>
    </row>
    <row r="154" spans="2:9" x14ac:dyDescent="0.3">
      <c r="B154" s="67" t="s">
        <v>240</v>
      </c>
      <c r="C154" s="67" t="s">
        <v>241</v>
      </c>
      <c r="D154" s="69">
        <v>0</v>
      </c>
      <c r="E154" s="69">
        <v>0</v>
      </c>
      <c r="F154" s="69">
        <v>1640</v>
      </c>
      <c r="G154" s="69">
        <f t="shared" si="4"/>
        <v>-1640</v>
      </c>
      <c r="H154" s="69">
        <f t="shared" si="5"/>
        <v>-1640</v>
      </c>
      <c r="I154" s="78" t="s">
        <v>686</v>
      </c>
    </row>
    <row r="155" spans="2:9" x14ac:dyDescent="0.3">
      <c r="B155" s="67" t="s">
        <v>242</v>
      </c>
      <c r="C155" s="67" t="s">
        <v>243</v>
      </c>
      <c r="D155" s="69">
        <v>0</v>
      </c>
      <c r="E155" s="69">
        <v>2570</v>
      </c>
      <c r="F155" s="69">
        <v>2570.25</v>
      </c>
      <c r="G155" s="69">
        <f t="shared" si="4"/>
        <v>-0.25</v>
      </c>
      <c r="H155" s="69">
        <f t="shared" si="5"/>
        <v>-0.25</v>
      </c>
      <c r="I155" s="78" t="s">
        <v>686</v>
      </c>
    </row>
    <row r="156" spans="2:9" x14ac:dyDescent="0.3">
      <c r="B156" s="67" t="s">
        <v>761</v>
      </c>
      <c r="C156" s="67" t="s">
        <v>762</v>
      </c>
      <c r="D156" s="69">
        <v>0</v>
      </c>
      <c r="E156" s="69">
        <v>1895.2</v>
      </c>
      <c r="F156" s="69">
        <v>1895.2</v>
      </c>
      <c r="G156" s="69">
        <f t="shared" si="4"/>
        <v>0</v>
      </c>
      <c r="H156" s="69">
        <f t="shared" si="5"/>
        <v>0</v>
      </c>
      <c r="I156" s="78" t="s">
        <v>686</v>
      </c>
    </row>
    <row r="157" spans="2:9" x14ac:dyDescent="0.3">
      <c r="B157" s="67" t="s">
        <v>244</v>
      </c>
      <c r="C157" s="67" t="s">
        <v>245</v>
      </c>
      <c r="D157" s="69">
        <v>0</v>
      </c>
      <c r="E157" s="69">
        <v>37818</v>
      </c>
      <c r="F157" s="69">
        <v>81316.5</v>
      </c>
      <c r="G157" s="69">
        <f t="shared" si="4"/>
        <v>-43498.5</v>
      </c>
      <c r="H157" s="69">
        <f t="shared" si="5"/>
        <v>-43498.5</v>
      </c>
      <c r="I157" s="78" t="s">
        <v>686</v>
      </c>
    </row>
    <row r="158" spans="2:9" x14ac:dyDescent="0.3">
      <c r="B158" s="67" t="s">
        <v>763</v>
      </c>
      <c r="C158" s="67" t="s">
        <v>764</v>
      </c>
      <c r="D158" s="69">
        <v>0</v>
      </c>
      <c r="E158" s="69">
        <v>3082</v>
      </c>
      <c r="F158" s="69">
        <v>3082</v>
      </c>
      <c r="G158" s="69">
        <f t="shared" si="4"/>
        <v>0</v>
      </c>
      <c r="H158" s="69">
        <f t="shared" si="5"/>
        <v>0</v>
      </c>
      <c r="I158" s="78" t="s">
        <v>686</v>
      </c>
    </row>
    <row r="159" spans="2:9" x14ac:dyDescent="0.3">
      <c r="B159" s="67" t="s">
        <v>246</v>
      </c>
      <c r="C159" s="67" t="s">
        <v>247</v>
      </c>
      <c r="D159" s="69">
        <v>0</v>
      </c>
      <c r="E159" s="69">
        <v>4403</v>
      </c>
      <c r="F159" s="69">
        <v>40178.400000000001</v>
      </c>
      <c r="G159" s="69">
        <f t="shared" si="4"/>
        <v>-35775.4</v>
      </c>
      <c r="H159" s="69">
        <f t="shared" si="5"/>
        <v>-35775.4</v>
      </c>
      <c r="I159" s="78" t="s">
        <v>686</v>
      </c>
    </row>
    <row r="160" spans="2:9" x14ac:dyDescent="0.3">
      <c r="B160" s="67" t="s">
        <v>248</v>
      </c>
      <c r="C160" s="67" t="s">
        <v>249</v>
      </c>
      <c r="D160" s="69">
        <v>0</v>
      </c>
      <c r="E160" s="69">
        <v>1247205.97</v>
      </c>
      <c r="F160" s="69">
        <v>2372530.2599999998</v>
      </c>
      <c r="G160" s="69">
        <f t="shared" si="4"/>
        <v>-1125324.2899999998</v>
      </c>
      <c r="H160" s="69">
        <f t="shared" si="5"/>
        <v>-1125324.2899999998</v>
      </c>
      <c r="I160" s="78" t="s">
        <v>686</v>
      </c>
    </row>
    <row r="161" spans="2:9" x14ac:dyDescent="0.3">
      <c r="B161" s="67" t="s">
        <v>250</v>
      </c>
      <c r="C161" s="67" t="s">
        <v>251</v>
      </c>
      <c r="D161" s="69">
        <v>0</v>
      </c>
      <c r="E161" s="69">
        <v>79108.899999999994</v>
      </c>
      <c r="F161" s="69">
        <v>102710.36</v>
      </c>
      <c r="G161" s="69">
        <f t="shared" si="4"/>
        <v>-23601.460000000006</v>
      </c>
      <c r="H161" s="69">
        <f t="shared" si="5"/>
        <v>-23601.460000000006</v>
      </c>
      <c r="I161" s="78" t="s">
        <v>686</v>
      </c>
    </row>
    <row r="162" spans="2:9" x14ac:dyDescent="0.3">
      <c r="B162" s="67" t="s">
        <v>252</v>
      </c>
      <c r="C162" s="67" t="s">
        <v>253</v>
      </c>
      <c r="D162" s="69">
        <v>0</v>
      </c>
      <c r="E162" s="69">
        <v>11814.7</v>
      </c>
      <c r="F162" s="69">
        <v>14345.27</v>
      </c>
      <c r="G162" s="69">
        <f t="shared" si="4"/>
        <v>-2530.5699999999997</v>
      </c>
      <c r="H162" s="69">
        <f t="shared" si="5"/>
        <v>-2530.5699999999997</v>
      </c>
      <c r="I162" s="78" t="s">
        <v>686</v>
      </c>
    </row>
    <row r="163" spans="2:9" x14ac:dyDescent="0.3">
      <c r="B163" s="67" t="s">
        <v>254</v>
      </c>
      <c r="C163" s="67" t="s">
        <v>255</v>
      </c>
      <c r="D163" s="69">
        <v>0</v>
      </c>
      <c r="E163" s="69">
        <v>0</v>
      </c>
      <c r="F163" s="69">
        <v>187995.2</v>
      </c>
      <c r="G163" s="69">
        <f t="shared" si="4"/>
        <v>-187995.2</v>
      </c>
      <c r="H163" s="69">
        <f t="shared" si="5"/>
        <v>-187995.2</v>
      </c>
      <c r="I163" s="78" t="s">
        <v>686</v>
      </c>
    </row>
    <row r="164" spans="2:9" x14ac:dyDescent="0.3">
      <c r="B164" s="67" t="s">
        <v>256</v>
      </c>
      <c r="C164" s="67" t="s">
        <v>257</v>
      </c>
      <c r="D164" s="69">
        <v>0</v>
      </c>
      <c r="E164" s="69">
        <v>276</v>
      </c>
      <c r="F164" s="69">
        <v>577.38</v>
      </c>
      <c r="G164" s="69">
        <f t="shared" si="4"/>
        <v>-301.38</v>
      </c>
      <c r="H164" s="69">
        <f t="shared" si="5"/>
        <v>-301.38</v>
      </c>
      <c r="I164" s="78" t="s">
        <v>686</v>
      </c>
    </row>
    <row r="165" spans="2:9" x14ac:dyDescent="0.3">
      <c r="B165" s="67" t="s">
        <v>258</v>
      </c>
      <c r="C165" s="67" t="s">
        <v>259</v>
      </c>
      <c r="D165" s="69">
        <v>0</v>
      </c>
      <c r="E165" s="69">
        <v>16028.7</v>
      </c>
      <c r="F165" s="69">
        <v>16029</v>
      </c>
      <c r="G165" s="69">
        <f t="shared" si="4"/>
        <v>-0.2999999999992724</v>
      </c>
      <c r="H165" s="69">
        <f t="shared" si="5"/>
        <v>-0.2999999999992724</v>
      </c>
      <c r="I165" s="78" t="s">
        <v>686</v>
      </c>
    </row>
    <row r="166" spans="2:9" x14ac:dyDescent="0.3">
      <c r="B166" s="75" t="s">
        <v>260</v>
      </c>
      <c r="C166" s="75" t="s">
        <v>261</v>
      </c>
      <c r="D166" s="76">
        <v>0</v>
      </c>
      <c r="E166" s="76">
        <v>50285.66</v>
      </c>
      <c r="F166" s="76">
        <v>0</v>
      </c>
      <c r="G166" s="76">
        <f t="shared" si="4"/>
        <v>50285.66</v>
      </c>
      <c r="H166" s="76">
        <f t="shared" si="5"/>
        <v>50285.66</v>
      </c>
      <c r="I166" s="78" t="s">
        <v>686</v>
      </c>
    </row>
    <row r="167" spans="2:9" x14ac:dyDescent="0.3">
      <c r="B167" s="67" t="s">
        <v>765</v>
      </c>
      <c r="C167" s="67" t="s">
        <v>766</v>
      </c>
      <c r="D167" s="69">
        <v>0</v>
      </c>
      <c r="E167" s="69">
        <v>80101.59</v>
      </c>
      <c r="F167" s="69">
        <v>80101.59</v>
      </c>
      <c r="G167" s="69">
        <f t="shared" si="4"/>
        <v>0</v>
      </c>
      <c r="H167" s="69">
        <f t="shared" si="5"/>
        <v>0</v>
      </c>
      <c r="I167" s="78" t="s">
        <v>686</v>
      </c>
    </row>
    <row r="168" spans="2:9" x14ac:dyDescent="0.3">
      <c r="B168" s="67" t="s">
        <v>767</v>
      </c>
      <c r="C168" s="67" t="s">
        <v>39</v>
      </c>
      <c r="D168" s="69">
        <v>0</v>
      </c>
      <c r="E168" s="69">
        <v>13085.93</v>
      </c>
      <c r="F168" s="69">
        <v>13085.93</v>
      </c>
      <c r="G168" s="69">
        <f t="shared" si="4"/>
        <v>0</v>
      </c>
      <c r="H168" s="69">
        <f t="shared" si="5"/>
        <v>0</v>
      </c>
      <c r="I168" s="78" t="s">
        <v>686</v>
      </c>
    </row>
    <row r="169" spans="2:9" x14ac:dyDescent="0.3">
      <c r="B169" s="75" t="s">
        <v>262</v>
      </c>
      <c r="C169" s="75" t="s">
        <v>263</v>
      </c>
      <c r="D169" s="76">
        <v>0</v>
      </c>
      <c r="E169" s="76">
        <v>0</v>
      </c>
      <c r="F169" s="76">
        <v>50285.66</v>
      </c>
      <c r="G169" s="76">
        <f t="shared" si="4"/>
        <v>-50285.66</v>
      </c>
      <c r="H169" s="76">
        <f t="shared" si="5"/>
        <v>-50285.66</v>
      </c>
      <c r="I169" s="78" t="s">
        <v>686</v>
      </c>
    </row>
    <row r="170" spans="2:9" x14ac:dyDescent="0.3">
      <c r="B170" s="67" t="s">
        <v>264</v>
      </c>
      <c r="C170" s="67" t="s">
        <v>265</v>
      </c>
      <c r="D170" s="69">
        <v>0</v>
      </c>
      <c r="E170" s="69">
        <v>0</v>
      </c>
      <c r="F170" s="69">
        <v>90</v>
      </c>
      <c r="G170" s="69">
        <f t="shared" si="4"/>
        <v>-90</v>
      </c>
      <c r="H170" s="69">
        <f t="shared" si="5"/>
        <v>-90</v>
      </c>
      <c r="I170" s="78" t="s">
        <v>686</v>
      </c>
    </row>
    <row r="171" spans="2:9" x14ac:dyDescent="0.3">
      <c r="B171" s="67" t="s">
        <v>768</v>
      </c>
      <c r="C171" s="67" t="s">
        <v>769</v>
      </c>
      <c r="D171" s="69">
        <v>0</v>
      </c>
      <c r="E171" s="69">
        <v>7039.15</v>
      </c>
      <c r="F171" s="69">
        <v>7039.15</v>
      </c>
      <c r="G171" s="69">
        <f t="shared" si="4"/>
        <v>0</v>
      </c>
      <c r="H171" s="69">
        <f t="shared" si="5"/>
        <v>0</v>
      </c>
      <c r="I171" s="78" t="s">
        <v>686</v>
      </c>
    </row>
    <row r="172" spans="2:9" x14ac:dyDescent="0.3">
      <c r="B172" s="67" t="s">
        <v>770</v>
      </c>
      <c r="C172" s="67" t="s">
        <v>771</v>
      </c>
      <c r="D172" s="69">
        <v>0</v>
      </c>
      <c r="E172" s="69">
        <v>4828</v>
      </c>
      <c r="F172" s="69">
        <v>4828</v>
      </c>
      <c r="G172" s="69">
        <f t="shared" si="4"/>
        <v>0</v>
      </c>
      <c r="H172" s="69">
        <f t="shared" si="5"/>
        <v>0</v>
      </c>
      <c r="I172" s="78" t="s">
        <v>686</v>
      </c>
    </row>
    <row r="173" spans="2:9" x14ac:dyDescent="0.3">
      <c r="B173" s="67" t="s">
        <v>772</v>
      </c>
      <c r="C173" s="67" t="s">
        <v>773</v>
      </c>
      <c r="D173" s="69">
        <v>0</v>
      </c>
      <c r="E173" s="69">
        <v>17048.75</v>
      </c>
      <c r="F173" s="69">
        <v>17048.75</v>
      </c>
      <c r="G173" s="69">
        <f t="shared" si="4"/>
        <v>0</v>
      </c>
      <c r="H173" s="69">
        <f t="shared" si="5"/>
        <v>0</v>
      </c>
      <c r="I173" s="78" t="s">
        <v>686</v>
      </c>
    </row>
    <row r="174" spans="2:9" x14ac:dyDescent="0.3">
      <c r="B174" s="67" t="s">
        <v>774</v>
      </c>
      <c r="C174" s="67" t="s">
        <v>775</v>
      </c>
      <c r="D174" s="69">
        <v>0</v>
      </c>
      <c r="E174" s="69">
        <v>38929.800000000003</v>
      </c>
      <c r="F174" s="69">
        <v>38929.800000000003</v>
      </c>
      <c r="G174" s="69">
        <f t="shared" si="4"/>
        <v>0</v>
      </c>
      <c r="H174" s="69">
        <f t="shared" si="5"/>
        <v>0</v>
      </c>
      <c r="I174" s="78" t="s">
        <v>686</v>
      </c>
    </row>
    <row r="175" spans="2:9" x14ac:dyDescent="0.3">
      <c r="B175" s="67" t="s">
        <v>266</v>
      </c>
      <c r="C175" s="67" t="s">
        <v>267</v>
      </c>
      <c r="D175" s="69">
        <v>0</v>
      </c>
      <c r="E175" s="69">
        <v>10288.549999999999</v>
      </c>
      <c r="F175" s="69">
        <v>10289.950000000001</v>
      </c>
      <c r="G175" s="69">
        <f t="shared" si="4"/>
        <v>-1.4000000000014552</v>
      </c>
      <c r="H175" s="69">
        <f t="shared" si="5"/>
        <v>-1.4000000000014552</v>
      </c>
      <c r="I175" s="78" t="s">
        <v>686</v>
      </c>
    </row>
    <row r="176" spans="2:9" x14ac:dyDescent="0.3">
      <c r="B176" s="67" t="s">
        <v>776</v>
      </c>
      <c r="C176" s="67" t="s">
        <v>777</v>
      </c>
      <c r="D176" s="69">
        <v>0</v>
      </c>
      <c r="E176" s="69">
        <v>211.76</v>
      </c>
      <c r="F176" s="69">
        <v>211.76</v>
      </c>
      <c r="G176" s="69">
        <f t="shared" si="4"/>
        <v>0</v>
      </c>
      <c r="H176" s="69">
        <f t="shared" si="5"/>
        <v>0</v>
      </c>
      <c r="I176" s="78" t="s">
        <v>686</v>
      </c>
    </row>
    <row r="177" spans="2:9" x14ac:dyDescent="0.3">
      <c r="B177" s="67" t="s">
        <v>268</v>
      </c>
      <c r="C177" s="67" t="s">
        <v>269</v>
      </c>
      <c r="D177" s="69">
        <v>0</v>
      </c>
      <c r="E177" s="69">
        <v>0</v>
      </c>
      <c r="F177" s="69">
        <v>481309.19</v>
      </c>
      <c r="G177" s="69">
        <f t="shared" si="4"/>
        <v>-481309.19</v>
      </c>
      <c r="H177" s="69">
        <f t="shared" si="5"/>
        <v>-481309.19</v>
      </c>
      <c r="I177" s="78" t="s">
        <v>686</v>
      </c>
    </row>
    <row r="178" spans="2:9" x14ac:dyDescent="0.3">
      <c r="B178" s="67" t="s">
        <v>270</v>
      </c>
      <c r="C178" s="67" t="s">
        <v>271</v>
      </c>
      <c r="D178" s="69">
        <v>0</v>
      </c>
      <c r="E178" s="69">
        <v>4448159.99</v>
      </c>
      <c r="F178" s="69">
        <v>3978809.79</v>
      </c>
      <c r="G178" s="69">
        <f t="shared" si="4"/>
        <v>469350.20000000019</v>
      </c>
      <c r="H178" s="69">
        <f t="shared" si="5"/>
        <v>469350.20000000019</v>
      </c>
      <c r="I178" s="78" t="s">
        <v>686</v>
      </c>
    </row>
    <row r="179" spans="2:9" x14ac:dyDescent="0.3">
      <c r="B179" s="67" t="s">
        <v>778</v>
      </c>
      <c r="C179" s="67" t="s">
        <v>779</v>
      </c>
      <c r="D179" s="69">
        <v>0</v>
      </c>
      <c r="E179" s="69">
        <v>80500</v>
      </c>
      <c r="F179" s="69">
        <v>80500</v>
      </c>
      <c r="G179" s="69">
        <f t="shared" si="4"/>
        <v>0</v>
      </c>
      <c r="H179" s="69">
        <f t="shared" si="5"/>
        <v>0</v>
      </c>
      <c r="I179" s="78" t="s">
        <v>686</v>
      </c>
    </row>
    <row r="180" spans="2:9" x14ac:dyDescent="0.3">
      <c r="B180" s="67" t="s">
        <v>272</v>
      </c>
      <c r="C180" s="67" t="s">
        <v>273</v>
      </c>
      <c r="D180" s="69">
        <v>0</v>
      </c>
      <c r="E180" s="69">
        <v>20945.27</v>
      </c>
      <c r="F180" s="69">
        <v>0</v>
      </c>
      <c r="G180" s="69">
        <f t="shared" si="4"/>
        <v>20945.27</v>
      </c>
      <c r="H180" s="69">
        <f t="shared" si="5"/>
        <v>20945.27</v>
      </c>
      <c r="I180" s="78" t="s">
        <v>686</v>
      </c>
    </row>
    <row r="181" spans="2:9" x14ac:dyDescent="0.3">
      <c r="B181" s="67" t="s">
        <v>274</v>
      </c>
      <c r="C181" s="67" t="s">
        <v>275</v>
      </c>
      <c r="D181" s="69">
        <v>0</v>
      </c>
      <c r="E181" s="69">
        <v>1857</v>
      </c>
      <c r="F181" s="69">
        <v>1857.25</v>
      </c>
      <c r="G181" s="69">
        <f t="shared" si="4"/>
        <v>-0.25</v>
      </c>
      <c r="H181" s="69">
        <f t="shared" si="5"/>
        <v>-0.25</v>
      </c>
      <c r="I181" s="78" t="s">
        <v>686</v>
      </c>
    </row>
    <row r="182" spans="2:9" x14ac:dyDescent="0.3">
      <c r="B182" s="67" t="s">
        <v>276</v>
      </c>
      <c r="C182" s="67" t="s">
        <v>277</v>
      </c>
      <c r="D182" s="69">
        <v>0</v>
      </c>
      <c r="E182" s="69">
        <v>68164.52</v>
      </c>
      <c r="F182" s="69">
        <v>168246.47</v>
      </c>
      <c r="G182" s="69">
        <f t="shared" si="4"/>
        <v>-100081.95</v>
      </c>
      <c r="H182" s="69">
        <f t="shared" si="5"/>
        <v>-100081.95</v>
      </c>
      <c r="I182" s="78" t="s">
        <v>686</v>
      </c>
    </row>
    <row r="183" spans="2:9" x14ac:dyDescent="0.3">
      <c r="B183" s="67" t="s">
        <v>780</v>
      </c>
      <c r="C183" s="67" t="s">
        <v>781</v>
      </c>
      <c r="D183" s="69">
        <v>0</v>
      </c>
      <c r="E183" s="69">
        <v>8735</v>
      </c>
      <c r="F183" s="69">
        <v>8735</v>
      </c>
      <c r="G183" s="69">
        <f t="shared" si="4"/>
        <v>0</v>
      </c>
      <c r="H183" s="69">
        <f t="shared" si="5"/>
        <v>0</v>
      </c>
      <c r="I183" s="78" t="s">
        <v>686</v>
      </c>
    </row>
    <row r="184" spans="2:9" x14ac:dyDescent="0.3">
      <c r="B184" s="67" t="s">
        <v>278</v>
      </c>
      <c r="C184" s="67" t="s">
        <v>279</v>
      </c>
      <c r="D184" s="69">
        <v>0</v>
      </c>
      <c r="E184" s="69">
        <v>0</v>
      </c>
      <c r="F184" s="69">
        <v>71000</v>
      </c>
      <c r="G184" s="69">
        <f t="shared" si="4"/>
        <v>-71000</v>
      </c>
      <c r="H184" s="69">
        <f t="shared" si="5"/>
        <v>-71000</v>
      </c>
      <c r="I184" s="78" t="s">
        <v>686</v>
      </c>
    </row>
    <row r="185" spans="2:9" x14ac:dyDescent="0.3">
      <c r="B185" s="67" t="s">
        <v>280</v>
      </c>
      <c r="C185" s="67" t="s">
        <v>281</v>
      </c>
      <c r="D185" s="69">
        <v>0</v>
      </c>
      <c r="E185" s="69">
        <v>0</v>
      </c>
      <c r="F185" s="69">
        <v>374265.46</v>
      </c>
      <c r="G185" s="69">
        <f t="shared" si="4"/>
        <v>-374265.46</v>
      </c>
      <c r="H185" s="69">
        <f t="shared" si="5"/>
        <v>-374265.46</v>
      </c>
      <c r="I185" s="78" t="s">
        <v>686</v>
      </c>
    </row>
    <row r="186" spans="2:9" x14ac:dyDescent="0.3">
      <c r="B186" s="67" t="s">
        <v>282</v>
      </c>
      <c r="C186" s="67" t="s">
        <v>283</v>
      </c>
      <c r="D186" s="69">
        <v>0</v>
      </c>
      <c r="E186" s="69">
        <v>7887</v>
      </c>
      <c r="F186" s="69">
        <v>7886.7</v>
      </c>
      <c r="G186" s="69">
        <f t="shared" si="4"/>
        <v>0.3000000000001819</v>
      </c>
      <c r="H186" s="69">
        <f t="shared" si="5"/>
        <v>0.3000000000001819</v>
      </c>
      <c r="I186" s="78" t="s">
        <v>686</v>
      </c>
    </row>
    <row r="187" spans="2:9" x14ac:dyDescent="0.3">
      <c r="B187" s="67" t="s">
        <v>284</v>
      </c>
      <c r="C187" s="67" t="s">
        <v>285</v>
      </c>
      <c r="D187" s="69">
        <v>0</v>
      </c>
      <c r="E187" s="69">
        <v>12958</v>
      </c>
      <c r="F187" s="69">
        <v>12957.65</v>
      </c>
      <c r="G187" s="69">
        <f t="shared" si="4"/>
        <v>0.3500000000003638</v>
      </c>
      <c r="H187" s="69">
        <f t="shared" si="5"/>
        <v>0.3500000000003638</v>
      </c>
      <c r="I187" s="78" t="s">
        <v>686</v>
      </c>
    </row>
    <row r="188" spans="2:9" x14ac:dyDescent="0.3">
      <c r="B188" s="67" t="s">
        <v>286</v>
      </c>
      <c r="C188" s="67" t="s">
        <v>287</v>
      </c>
      <c r="D188" s="69">
        <v>0</v>
      </c>
      <c r="E188" s="69">
        <v>0</v>
      </c>
      <c r="F188" s="69">
        <v>294973.39</v>
      </c>
      <c r="G188" s="69">
        <f t="shared" si="4"/>
        <v>-294973.39</v>
      </c>
      <c r="H188" s="69">
        <f t="shared" si="5"/>
        <v>-294973.39</v>
      </c>
      <c r="I188" s="78" t="s">
        <v>686</v>
      </c>
    </row>
    <row r="189" spans="2:9" x14ac:dyDescent="0.3">
      <c r="B189" s="67" t="s">
        <v>782</v>
      </c>
      <c r="C189" s="67" t="s">
        <v>783</v>
      </c>
      <c r="D189" s="69">
        <v>0</v>
      </c>
      <c r="E189" s="69">
        <v>732828.3</v>
      </c>
      <c r="F189" s="69">
        <v>732828.3</v>
      </c>
      <c r="G189" s="69">
        <f t="shared" si="4"/>
        <v>0</v>
      </c>
      <c r="H189" s="69">
        <f t="shared" si="5"/>
        <v>0</v>
      </c>
      <c r="I189" s="78" t="s">
        <v>686</v>
      </c>
    </row>
    <row r="190" spans="2:9" x14ac:dyDescent="0.3">
      <c r="B190" s="67" t="s">
        <v>288</v>
      </c>
      <c r="C190" s="67" t="s">
        <v>289</v>
      </c>
      <c r="D190" s="69">
        <v>0</v>
      </c>
      <c r="E190" s="69">
        <v>800238.48</v>
      </c>
      <c r="F190" s="69">
        <v>800238.48</v>
      </c>
      <c r="G190" s="69">
        <f t="shared" si="4"/>
        <v>0</v>
      </c>
      <c r="H190" s="69">
        <f t="shared" si="5"/>
        <v>0</v>
      </c>
      <c r="I190" s="78" t="s">
        <v>686</v>
      </c>
    </row>
    <row r="191" spans="2:9" x14ac:dyDescent="0.3">
      <c r="B191" s="67" t="s">
        <v>784</v>
      </c>
      <c r="C191" s="67" t="s">
        <v>785</v>
      </c>
      <c r="D191" s="69">
        <v>0</v>
      </c>
      <c r="E191" s="69">
        <v>100000</v>
      </c>
      <c r="F191" s="69">
        <v>100000</v>
      </c>
      <c r="G191" s="69">
        <f t="shared" si="4"/>
        <v>0</v>
      </c>
      <c r="H191" s="69">
        <f t="shared" si="5"/>
        <v>0</v>
      </c>
      <c r="I191" s="78" t="s">
        <v>686</v>
      </c>
    </row>
    <row r="192" spans="2:9" x14ac:dyDescent="0.3">
      <c r="B192" s="67" t="s">
        <v>290</v>
      </c>
      <c r="C192" s="67" t="s">
        <v>291</v>
      </c>
      <c r="D192" s="69">
        <v>0</v>
      </c>
      <c r="E192" s="69">
        <v>1333101.55</v>
      </c>
      <c r="F192" s="69">
        <v>1953941.08</v>
      </c>
      <c r="G192" s="69">
        <f t="shared" si="4"/>
        <v>-620839.53</v>
      </c>
      <c r="H192" s="69">
        <f t="shared" si="5"/>
        <v>-620839.53</v>
      </c>
      <c r="I192" s="78" t="s">
        <v>686</v>
      </c>
    </row>
    <row r="193" spans="2:9" x14ac:dyDescent="0.3">
      <c r="B193" s="75" t="s">
        <v>292</v>
      </c>
      <c r="C193" s="75" t="s">
        <v>293</v>
      </c>
      <c r="D193" s="76"/>
      <c r="E193" s="76"/>
      <c r="F193" s="76"/>
      <c r="G193" s="76">
        <f t="shared" si="4"/>
        <v>0</v>
      </c>
      <c r="H193" s="76">
        <f t="shared" si="5"/>
        <v>0</v>
      </c>
    </row>
    <row r="194" spans="2:9" x14ac:dyDescent="0.3">
      <c r="B194" s="67" t="s">
        <v>294</v>
      </c>
      <c r="C194" s="67" t="s">
        <v>295</v>
      </c>
      <c r="D194" s="69">
        <v>0</v>
      </c>
      <c r="E194" s="69">
        <v>470815.86</v>
      </c>
      <c r="F194" s="69">
        <v>613097.61</v>
      </c>
      <c r="G194" s="69">
        <f t="shared" si="4"/>
        <v>-142281.75</v>
      </c>
      <c r="H194" s="69">
        <f t="shared" si="5"/>
        <v>-142281.75</v>
      </c>
      <c r="I194" s="78" t="s">
        <v>688</v>
      </c>
    </row>
    <row r="195" spans="2:9" x14ac:dyDescent="0.3">
      <c r="B195" s="67" t="s">
        <v>296</v>
      </c>
      <c r="C195" s="67" t="s">
        <v>297</v>
      </c>
      <c r="D195" s="69">
        <v>0</v>
      </c>
      <c r="E195" s="69">
        <v>1069.5</v>
      </c>
      <c r="F195" s="69">
        <v>8015.5</v>
      </c>
      <c r="G195" s="69">
        <f t="shared" si="4"/>
        <v>-6946</v>
      </c>
      <c r="H195" s="69">
        <f t="shared" si="5"/>
        <v>-6946</v>
      </c>
      <c r="I195" s="78" t="s">
        <v>688</v>
      </c>
    </row>
    <row r="196" spans="2:9" x14ac:dyDescent="0.3">
      <c r="B196" s="67" t="s">
        <v>786</v>
      </c>
      <c r="C196" s="67" t="s">
        <v>787</v>
      </c>
      <c r="D196" s="69">
        <v>0</v>
      </c>
      <c r="E196" s="69">
        <v>20000</v>
      </c>
      <c r="F196" s="69">
        <v>20000</v>
      </c>
      <c r="G196" s="69">
        <f t="shared" si="4"/>
        <v>0</v>
      </c>
      <c r="H196" s="69">
        <f t="shared" si="5"/>
        <v>0</v>
      </c>
      <c r="I196" s="78" t="s">
        <v>688</v>
      </c>
    </row>
    <row r="197" spans="2:9" x14ac:dyDescent="0.3">
      <c r="B197" s="67" t="s">
        <v>298</v>
      </c>
      <c r="C197" s="67" t="s">
        <v>299</v>
      </c>
      <c r="D197" s="69">
        <v>0</v>
      </c>
      <c r="E197" s="69">
        <v>0</v>
      </c>
      <c r="F197" s="69">
        <v>24857.94</v>
      </c>
      <c r="G197" s="69">
        <f t="shared" si="4"/>
        <v>-24857.94</v>
      </c>
      <c r="H197" s="69">
        <f t="shared" si="5"/>
        <v>-24857.94</v>
      </c>
      <c r="I197" s="78" t="s">
        <v>688</v>
      </c>
    </row>
    <row r="198" spans="2:9" x14ac:dyDescent="0.3">
      <c r="B198" s="75" t="s">
        <v>300</v>
      </c>
      <c r="C198" s="75" t="s">
        <v>301</v>
      </c>
      <c r="D198" s="76"/>
      <c r="E198" s="76"/>
      <c r="F198" s="76"/>
      <c r="G198" s="76">
        <f t="shared" si="4"/>
        <v>0</v>
      </c>
      <c r="H198" s="76">
        <f t="shared" si="5"/>
        <v>0</v>
      </c>
      <c r="I198" s="78" t="s">
        <v>688</v>
      </c>
    </row>
    <row r="199" spans="2:9" x14ac:dyDescent="0.3">
      <c r="B199" s="67" t="s">
        <v>788</v>
      </c>
      <c r="C199" s="67" t="s">
        <v>789</v>
      </c>
      <c r="D199" s="69">
        <v>0</v>
      </c>
      <c r="E199" s="69">
        <v>23000</v>
      </c>
      <c r="F199" s="69">
        <v>23000</v>
      </c>
      <c r="G199" s="69">
        <f t="shared" si="4"/>
        <v>0</v>
      </c>
      <c r="H199" s="69">
        <f t="shared" si="5"/>
        <v>0</v>
      </c>
      <c r="I199" s="78" t="s">
        <v>688</v>
      </c>
    </row>
    <row r="200" spans="2:9" x14ac:dyDescent="0.3">
      <c r="B200" s="67" t="s">
        <v>302</v>
      </c>
      <c r="C200" s="67" t="s">
        <v>303</v>
      </c>
      <c r="D200" s="69">
        <v>0</v>
      </c>
      <c r="E200" s="69">
        <v>500000</v>
      </c>
      <c r="F200" s="69">
        <v>0</v>
      </c>
      <c r="G200" s="69">
        <f t="shared" ref="G200:G263" si="6">E200-F200</f>
        <v>500000</v>
      </c>
      <c r="H200" s="69">
        <f t="shared" ref="H200:H263" si="7">D200+G200</f>
        <v>500000</v>
      </c>
      <c r="I200" s="78" t="s">
        <v>647</v>
      </c>
    </row>
    <row r="201" spans="2:9" x14ac:dyDescent="0.3">
      <c r="B201" s="67" t="s">
        <v>304</v>
      </c>
      <c r="C201" s="67" t="s">
        <v>305</v>
      </c>
      <c r="D201" s="69">
        <v>0</v>
      </c>
      <c r="E201" s="69">
        <v>100044.47</v>
      </c>
      <c r="F201" s="69">
        <v>76705</v>
      </c>
      <c r="G201" s="69">
        <f t="shared" si="6"/>
        <v>23339.47</v>
      </c>
      <c r="H201" s="69">
        <f t="shared" si="7"/>
        <v>23339.47</v>
      </c>
      <c r="I201" s="78" t="s">
        <v>688</v>
      </c>
    </row>
    <row r="202" spans="2:9" x14ac:dyDescent="0.3">
      <c r="B202" s="75" t="s">
        <v>306</v>
      </c>
      <c r="C202" s="75" t="s">
        <v>307</v>
      </c>
      <c r="D202" s="76"/>
      <c r="E202" s="76"/>
      <c r="F202" s="76"/>
      <c r="G202" s="76">
        <f t="shared" si="6"/>
        <v>0</v>
      </c>
      <c r="H202" s="76">
        <f t="shared" si="7"/>
        <v>0</v>
      </c>
    </row>
    <row r="203" spans="2:9" x14ac:dyDescent="0.3">
      <c r="B203" s="67" t="s">
        <v>308</v>
      </c>
      <c r="C203" s="67" t="s">
        <v>309</v>
      </c>
      <c r="D203" s="69">
        <v>0</v>
      </c>
      <c r="E203" s="69">
        <v>2421.63</v>
      </c>
      <c r="F203" s="69">
        <v>212969.97</v>
      </c>
      <c r="G203" s="69">
        <f t="shared" si="6"/>
        <v>-210548.34</v>
      </c>
      <c r="H203" s="69">
        <f t="shared" si="7"/>
        <v>-210548.34</v>
      </c>
      <c r="I203" s="78" t="s">
        <v>686</v>
      </c>
    </row>
    <row r="204" spans="2:9" x14ac:dyDescent="0.3">
      <c r="B204" s="67" t="s">
        <v>310</v>
      </c>
      <c r="C204" s="67" t="s">
        <v>311</v>
      </c>
      <c r="D204" s="69">
        <v>0</v>
      </c>
      <c r="E204" s="69">
        <v>1667647.63</v>
      </c>
      <c r="F204" s="69">
        <v>1048036.23</v>
      </c>
      <c r="G204" s="69">
        <f t="shared" si="6"/>
        <v>619611.39999999991</v>
      </c>
      <c r="H204" s="69">
        <f t="shared" si="7"/>
        <v>619611.39999999991</v>
      </c>
      <c r="I204" s="78" t="s">
        <v>647</v>
      </c>
    </row>
    <row r="205" spans="2:9" x14ac:dyDescent="0.3">
      <c r="B205" s="67" t="s">
        <v>312</v>
      </c>
      <c r="C205" s="67" t="s">
        <v>313</v>
      </c>
      <c r="D205" s="69">
        <v>0</v>
      </c>
      <c r="E205" s="69">
        <v>250000</v>
      </c>
      <c r="F205" s="69">
        <v>26988.89</v>
      </c>
      <c r="G205" s="69">
        <f t="shared" si="6"/>
        <v>223011.11</v>
      </c>
      <c r="H205" s="69">
        <f t="shared" si="7"/>
        <v>223011.11</v>
      </c>
      <c r="I205" s="78" t="s">
        <v>647</v>
      </c>
    </row>
    <row r="206" spans="2:9" x14ac:dyDescent="0.3">
      <c r="B206" s="67" t="s">
        <v>314</v>
      </c>
      <c r="C206" s="67" t="s">
        <v>315</v>
      </c>
      <c r="D206" s="69">
        <v>0</v>
      </c>
      <c r="E206" s="69">
        <v>305696.86</v>
      </c>
      <c r="F206" s="69">
        <v>599466.38</v>
      </c>
      <c r="G206" s="69">
        <f t="shared" si="6"/>
        <v>-293769.52</v>
      </c>
      <c r="H206" s="69">
        <f t="shared" si="7"/>
        <v>-293769.52</v>
      </c>
      <c r="I206" s="78" t="s">
        <v>686</v>
      </c>
    </row>
    <row r="207" spans="2:9" x14ac:dyDescent="0.3">
      <c r="B207" s="67" t="s">
        <v>316</v>
      </c>
      <c r="C207" s="67" t="s">
        <v>317</v>
      </c>
      <c r="D207" s="69">
        <v>0</v>
      </c>
      <c r="E207" s="69">
        <v>46023.86</v>
      </c>
      <c r="F207" s="69">
        <v>0</v>
      </c>
      <c r="G207" s="69">
        <f t="shared" si="6"/>
        <v>46023.86</v>
      </c>
      <c r="H207" s="69">
        <f t="shared" si="7"/>
        <v>46023.86</v>
      </c>
      <c r="I207" s="78" t="s">
        <v>645</v>
      </c>
    </row>
    <row r="208" spans="2:9" x14ac:dyDescent="0.3">
      <c r="B208" s="67" t="s">
        <v>318</v>
      </c>
      <c r="C208" s="67" t="s">
        <v>319</v>
      </c>
      <c r="D208" s="69">
        <v>0</v>
      </c>
      <c r="E208" s="69">
        <v>0</v>
      </c>
      <c r="F208" s="69">
        <v>300000</v>
      </c>
      <c r="G208" s="69">
        <f t="shared" si="6"/>
        <v>-300000</v>
      </c>
      <c r="H208" s="69">
        <f t="shared" si="7"/>
        <v>-300000</v>
      </c>
      <c r="I208" s="78" t="s">
        <v>688</v>
      </c>
    </row>
    <row r="209" spans="2:9" x14ac:dyDescent="0.3">
      <c r="B209" s="67" t="s">
        <v>320</v>
      </c>
      <c r="C209" s="67" t="s">
        <v>321</v>
      </c>
      <c r="D209" s="69">
        <v>0</v>
      </c>
      <c r="E209" s="69">
        <v>4478313.74</v>
      </c>
      <c r="F209" s="69">
        <v>3142999.7</v>
      </c>
      <c r="G209" s="69">
        <f t="shared" si="6"/>
        <v>1335314.04</v>
      </c>
      <c r="H209" s="69">
        <f t="shared" si="7"/>
        <v>1335314.04</v>
      </c>
      <c r="I209" s="78" t="s">
        <v>647</v>
      </c>
    </row>
    <row r="210" spans="2:9" x14ac:dyDescent="0.3">
      <c r="B210" s="67" t="s">
        <v>322</v>
      </c>
      <c r="C210" s="67" t="s">
        <v>323</v>
      </c>
      <c r="D210" s="69">
        <v>0</v>
      </c>
      <c r="E210" s="69">
        <v>103270.25</v>
      </c>
      <c r="F210" s="69">
        <v>527865.53</v>
      </c>
      <c r="G210" s="69">
        <f t="shared" si="6"/>
        <v>-424595.28</v>
      </c>
      <c r="H210" s="69">
        <f t="shared" si="7"/>
        <v>-424595.28</v>
      </c>
      <c r="I210" s="78" t="s">
        <v>686</v>
      </c>
    </row>
    <row r="211" spans="2:9" x14ac:dyDescent="0.3">
      <c r="B211" s="75" t="s">
        <v>324</v>
      </c>
      <c r="C211" s="75" t="s">
        <v>325</v>
      </c>
      <c r="D211" s="76"/>
      <c r="E211" s="76"/>
      <c r="F211" s="76"/>
      <c r="G211" s="76">
        <f t="shared" si="6"/>
        <v>0</v>
      </c>
      <c r="H211" s="76">
        <f t="shared" si="7"/>
        <v>0</v>
      </c>
    </row>
    <row r="212" spans="2:9" x14ac:dyDescent="0.3">
      <c r="B212" s="67" t="s">
        <v>326</v>
      </c>
      <c r="C212" s="67" t="s">
        <v>327</v>
      </c>
      <c r="D212" s="69">
        <v>0</v>
      </c>
      <c r="E212" s="69">
        <v>91201.59</v>
      </c>
      <c r="F212" s="69">
        <v>91201.59</v>
      </c>
      <c r="G212" s="69">
        <f t="shared" si="6"/>
        <v>0</v>
      </c>
      <c r="H212" s="69">
        <f t="shared" si="7"/>
        <v>0</v>
      </c>
      <c r="I212" s="78" t="s">
        <v>688</v>
      </c>
    </row>
    <row r="213" spans="2:9" x14ac:dyDescent="0.3">
      <c r="B213" s="75" t="s">
        <v>328</v>
      </c>
      <c r="C213" s="75" t="s">
        <v>329</v>
      </c>
      <c r="D213" s="76"/>
      <c r="E213" s="76"/>
      <c r="F213" s="76"/>
      <c r="G213" s="76">
        <f t="shared" si="6"/>
        <v>0</v>
      </c>
      <c r="H213" s="76">
        <f t="shared" si="7"/>
        <v>0</v>
      </c>
    </row>
    <row r="214" spans="2:9" x14ac:dyDescent="0.3">
      <c r="B214" s="67" t="s">
        <v>330</v>
      </c>
      <c r="C214" s="67" t="s">
        <v>331</v>
      </c>
      <c r="D214" s="69">
        <v>0</v>
      </c>
      <c r="E214" s="69">
        <v>30000</v>
      </c>
      <c r="F214" s="69">
        <v>96200</v>
      </c>
      <c r="G214" s="69">
        <f t="shared" si="6"/>
        <v>-66200</v>
      </c>
      <c r="H214" s="69">
        <f t="shared" si="7"/>
        <v>-66200</v>
      </c>
      <c r="I214" s="78" t="s">
        <v>688</v>
      </c>
    </row>
    <row r="215" spans="2:9" x14ac:dyDescent="0.3">
      <c r="B215" s="75" t="s">
        <v>332</v>
      </c>
      <c r="C215" s="75" t="s">
        <v>333</v>
      </c>
      <c r="D215" s="76"/>
      <c r="E215" s="76"/>
      <c r="F215" s="76"/>
      <c r="G215" s="76">
        <f t="shared" si="6"/>
        <v>0</v>
      </c>
      <c r="H215" s="76">
        <f t="shared" si="7"/>
        <v>0</v>
      </c>
    </row>
    <row r="216" spans="2:9" x14ac:dyDescent="0.3">
      <c r="B216" s="67" t="s">
        <v>334</v>
      </c>
      <c r="C216" s="67" t="s">
        <v>335</v>
      </c>
      <c r="D216" s="69">
        <v>0</v>
      </c>
      <c r="E216" s="69">
        <v>15600</v>
      </c>
      <c r="F216" s="69">
        <v>93403.32</v>
      </c>
      <c r="G216" s="69">
        <f t="shared" si="6"/>
        <v>-77803.320000000007</v>
      </c>
      <c r="H216" s="69">
        <f t="shared" si="7"/>
        <v>-77803.320000000007</v>
      </c>
      <c r="I216" s="78" t="s">
        <v>688</v>
      </c>
    </row>
    <row r="217" spans="2:9" x14ac:dyDescent="0.3">
      <c r="B217" s="67" t="s">
        <v>336</v>
      </c>
      <c r="C217" s="67" t="s">
        <v>337</v>
      </c>
      <c r="D217" s="69">
        <v>0</v>
      </c>
      <c r="E217" s="69">
        <v>30802.91</v>
      </c>
      <c r="F217" s="69">
        <v>102601.33</v>
      </c>
      <c r="G217" s="69">
        <f t="shared" si="6"/>
        <v>-71798.42</v>
      </c>
      <c r="H217" s="69">
        <f t="shared" si="7"/>
        <v>-71798.42</v>
      </c>
      <c r="I217" s="78" t="s">
        <v>688</v>
      </c>
    </row>
    <row r="218" spans="2:9" x14ac:dyDescent="0.3">
      <c r="B218" s="75" t="s">
        <v>338</v>
      </c>
      <c r="C218" s="75" t="s">
        <v>339</v>
      </c>
      <c r="D218" s="76"/>
      <c r="E218" s="76"/>
      <c r="F218" s="76"/>
      <c r="G218" s="76">
        <f t="shared" si="6"/>
        <v>0</v>
      </c>
      <c r="H218" s="76">
        <f t="shared" si="7"/>
        <v>0</v>
      </c>
    </row>
    <row r="219" spans="2:9" x14ac:dyDescent="0.3">
      <c r="B219" s="67" t="s">
        <v>340</v>
      </c>
      <c r="C219" s="67" t="s">
        <v>341</v>
      </c>
      <c r="D219" s="69">
        <v>0</v>
      </c>
      <c r="E219" s="69">
        <v>0</v>
      </c>
      <c r="F219" s="69">
        <v>2100</v>
      </c>
      <c r="G219" s="69">
        <f t="shared" si="6"/>
        <v>-2100</v>
      </c>
      <c r="H219" s="69">
        <f t="shared" si="7"/>
        <v>-2100</v>
      </c>
      <c r="I219" s="78" t="s">
        <v>688</v>
      </c>
    </row>
    <row r="220" spans="2:9" x14ac:dyDescent="0.3">
      <c r="B220" s="67" t="s">
        <v>342</v>
      </c>
      <c r="C220" s="67" t="s">
        <v>343</v>
      </c>
      <c r="D220" s="69">
        <v>0</v>
      </c>
      <c r="E220" s="69">
        <v>0</v>
      </c>
      <c r="F220" s="69">
        <v>106757.3</v>
      </c>
      <c r="G220" s="69">
        <f t="shared" si="6"/>
        <v>-106757.3</v>
      </c>
      <c r="H220" s="69">
        <f t="shared" si="7"/>
        <v>-106757.3</v>
      </c>
      <c r="I220" s="78" t="s">
        <v>686</v>
      </c>
    </row>
    <row r="221" spans="2:9" x14ac:dyDescent="0.3">
      <c r="B221" s="75" t="s">
        <v>344</v>
      </c>
      <c r="C221" s="75" t="s">
        <v>345</v>
      </c>
      <c r="D221" s="76"/>
      <c r="E221" s="76"/>
      <c r="F221" s="76"/>
      <c r="G221" s="76">
        <f t="shared" si="6"/>
        <v>0</v>
      </c>
      <c r="H221" s="76">
        <f t="shared" si="7"/>
        <v>0</v>
      </c>
    </row>
    <row r="222" spans="2:9" x14ac:dyDescent="0.3">
      <c r="B222" s="67" t="s">
        <v>346</v>
      </c>
      <c r="C222" s="67" t="s">
        <v>347</v>
      </c>
      <c r="D222" s="69">
        <v>0</v>
      </c>
      <c r="E222" s="69">
        <v>19317.240000000002</v>
      </c>
      <c r="F222" s="69">
        <v>379058.14</v>
      </c>
      <c r="G222" s="69">
        <f t="shared" si="6"/>
        <v>-359740.9</v>
      </c>
      <c r="H222" s="69">
        <f t="shared" si="7"/>
        <v>-359740.9</v>
      </c>
      <c r="I222" s="78" t="s">
        <v>672</v>
      </c>
    </row>
    <row r="223" spans="2:9" x14ac:dyDescent="0.3">
      <c r="B223" s="75" t="s">
        <v>348</v>
      </c>
      <c r="C223" s="75" t="s">
        <v>349</v>
      </c>
      <c r="D223" s="76"/>
      <c r="E223" s="76"/>
      <c r="F223" s="76"/>
      <c r="G223" s="76">
        <f t="shared" si="6"/>
        <v>0</v>
      </c>
      <c r="H223" s="76">
        <f t="shared" si="7"/>
        <v>0</v>
      </c>
    </row>
    <row r="224" spans="2:9" x14ac:dyDescent="0.3">
      <c r="B224" s="67" t="s">
        <v>350</v>
      </c>
      <c r="C224" s="67" t="s">
        <v>351</v>
      </c>
      <c r="D224" s="69">
        <v>0</v>
      </c>
      <c r="E224" s="69">
        <v>1536139.01</v>
      </c>
      <c r="F224" s="69">
        <v>1671227.7</v>
      </c>
      <c r="G224" s="69">
        <f t="shared" si="6"/>
        <v>-135088.68999999994</v>
      </c>
      <c r="H224" s="69">
        <f t="shared" si="7"/>
        <v>-135088.68999999994</v>
      </c>
      <c r="I224" s="78" t="s">
        <v>657</v>
      </c>
    </row>
    <row r="225" spans="2:9" x14ac:dyDescent="0.3">
      <c r="B225" s="67" t="s">
        <v>352</v>
      </c>
      <c r="C225" s="67" t="s">
        <v>353</v>
      </c>
      <c r="D225" s="69">
        <v>-29823.07</v>
      </c>
      <c r="E225" s="69">
        <v>91201.59</v>
      </c>
      <c r="F225" s="69">
        <v>0</v>
      </c>
      <c r="G225" s="69">
        <f t="shared" si="6"/>
        <v>91201.59</v>
      </c>
      <c r="H225" s="69">
        <f t="shared" si="7"/>
        <v>61378.52</v>
      </c>
      <c r="I225" s="78" t="s">
        <v>663</v>
      </c>
    </row>
    <row r="226" spans="2:9" x14ac:dyDescent="0.3">
      <c r="B226" s="75" t="s">
        <v>354</v>
      </c>
      <c r="C226" s="75" t="s">
        <v>355</v>
      </c>
      <c r="D226" s="76"/>
      <c r="E226" s="76"/>
      <c r="F226" s="76"/>
      <c r="G226" s="76">
        <f t="shared" si="6"/>
        <v>0</v>
      </c>
      <c r="H226" s="76">
        <f t="shared" si="7"/>
        <v>0</v>
      </c>
    </row>
    <row r="227" spans="2:9" x14ac:dyDescent="0.3">
      <c r="B227" s="67" t="s">
        <v>356</v>
      </c>
      <c r="C227" s="67" t="s">
        <v>357</v>
      </c>
      <c r="D227" s="69">
        <v>0</v>
      </c>
      <c r="E227" s="69">
        <v>13469340</v>
      </c>
      <c r="F227" s="69">
        <v>19395282.93</v>
      </c>
      <c r="G227" s="69">
        <f t="shared" si="6"/>
        <v>-5925942.9299999997</v>
      </c>
      <c r="H227" s="69">
        <f t="shared" si="7"/>
        <v>-5925942.9299999997</v>
      </c>
      <c r="I227" s="78" t="s">
        <v>661</v>
      </c>
    </row>
    <row r="228" spans="2:9" x14ac:dyDescent="0.3">
      <c r="B228" s="67" t="s">
        <v>358</v>
      </c>
      <c r="C228" s="67" t="s">
        <v>359</v>
      </c>
      <c r="D228" s="69">
        <v>0</v>
      </c>
      <c r="E228" s="69">
        <v>2040</v>
      </c>
      <c r="F228" s="69">
        <v>1248904.6200000001</v>
      </c>
      <c r="G228" s="69">
        <f t="shared" si="6"/>
        <v>-1246864.6200000001</v>
      </c>
      <c r="H228" s="69">
        <f t="shared" si="7"/>
        <v>-1246864.6200000001</v>
      </c>
      <c r="I228" s="78" t="s">
        <v>661</v>
      </c>
    </row>
    <row r="229" spans="2:9" x14ac:dyDescent="0.3">
      <c r="B229" s="75" t="s">
        <v>360</v>
      </c>
      <c r="C229" s="75" t="s">
        <v>361</v>
      </c>
      <c r="D229" s="76"/>
      <c r="E229" s="76"/>
      <c r="F229" s="76"/>
      <c r="G229" s="76">
        <f t="shared" si="6"/>
        <v>0</v>
      </c>
      <c r="H229" s="76">
        <f t="shared" si="7"/>
        <v>0</v>
      </c>
      <c r="I229" s="78" t="s">
        <v>661</v>
      </c>
    </row>
    <row r="230" spans="2:9" x14ac:dyDescent="0.3">
      <c r="B230" s="67" t="s">
        <v>790</v>
      </c>
      <c r="C230" s="67" t="s">
        <v>791</v>
      </c>
      <c r="D230" s="69">
        <v>0</v>
      </c>
      <c r="E230" s="69">
        <v>3200</v>
      </c>
      <c r="F230" s="69">
        <v>3200</v>
      </c>
      <c r="G230" s="69">
        <f t="shared" si="6"/>
        <v>0</v>
      </c>
      <c r="H230" s="69">
        <f t="shared" si="7"/>
        <v>0</v>
      </c>
      <c r="I230" s="78" t="s">
        <v>661</v>
      </c>
    </row>
    <row r="231" spans="2:9" x14ac:dyDescent="0.3">
      <c r="B231" s="67" t="s">
        <v>362</v>
      </c>
      <c r="C231" s="67" t="s">
        <v>363</v>
      </c>
      <c r="D231" s="69">
        <v>0</v>
      </c>
      <c r="E231" s="69">
        <v>2249</v>
      </c>
      <c r="F231" s="69">
        <v>0</v>
      </c>
      <c r="G231" s="69">
        <f t="shared" si="6"/>
        <v>2249</v>
      </c>
      <c r="H231" s="69">
        <f t="shared" si="7"/>
        <v>2249</v>
      </c>
      <c r="I231" s="78" t="s">
        <v>661</v>
      </c>
    </row>
    <row r="232" spans="2:9" x14ac:dyDescent="0.3">
      <c r="B232" s="67" t="s">
        <v>364</v>
      </c>
      <c r="C232" s="67" t="s">
        <v>365</v>
      </c>
      <c r="D232" s="69">
        <v>0</v>
      </c>
      <c r="E232" s="69">
        <v>980</v>
      </c>
      <c r="F232" s="69">
        <v>0</v>
      </c>
      <c r="G232" s="69">
        <f t="shared" si="6"/>
        <v>980</v>
      </c>
      <c r="H232" s="69">
        <f t="shared" si="7"/>
        <v>980</v>
      </c>
      <c r="I232" s="78" t="s">
        <v>661</v>
      </c>
    </row>
    <row r="233" spans="2:9" x14ac:dyDescent="0.3">
      <c r="B233" s="67" t="s">
        <v>366</v>
      </c>
      <c r="C233" s="67" t="s">
        <v>367</v>
      </c>
      <c r="D233" s="69">
        <v>0</v>
      </c>
      <c r="E233" s="69">
        <v>1115</v>
      </c>
      <c r="F233" s="69">
        <v>0</v>
      </c>
      <c r="G233" s="69">
        <f t="shared" si="6"/>
        <v>1115</v>
      </c>
      <c r="H233" s="69">
        <f t="shared" si="7"/>
        <v>1115</v>
      </c>
      <c r="I233" s="78" t="s">
        <v>661</v>
      </c>
    </row>
    <row r="234" spans="2:9" x14ac:dyDescent="0.3">
      <c r="B234" s="67" t="s">
        <v>368</v>
      </c>
      <c r="C234" s="67" t="s">
        <v>369</v>
      </c>
      <c r="D234" s="69">
        <v>0</v>
      </c>
      <c r="E234" s="69">
        <v>28381</v>
      </c>
      <c r="F234" s="69">
        <v>300</v>
      </c>
      <c r="G234" s="69">
        <f t="shared" si="6"/>
        <v>28081</v>
      </c>
      <c r="H234" s="69">
        <f t="shared" si="7"/>
        <v>28081</v>
      </c>
      <c r="I234" s="78" t="s">
        <v>661</v>
      </c>
    </row>
    <row r="235" spans="2:9" x14ac:dyDescent="0.3">
      <c r="B235" s="67" t="s">
        <v>370</v>
      </c>
      <c r="C235" s="67" t="s">
        <v>371</v>
      </c>
      <c r="D235" s="69">
        <v>0</v>
      </c>
      <c r="E235" s="69">
        <v>100840</v>
      </c>
      <c r="F235" s="69">
        <v>0</v>
      </c>
      <c r="G235" s="69">
        <f t="shared" si="6"/>
        <v>100840</v>
      </c>
      <c r="H235" s="69">
        <f t="shared" si="7"/>
        <v>100840</v>
      </c>
      <c r="I235" s="78" t="s">
        <v>661</v>
      </c>
    </row>
    <row r="236" spans="2:9" x14ac:dyDescent="0.3">
      <c r="B236" s="67" t="s">
        <v>372</v>
      </c>
      <c r="C236" s="67" t="s">
        <v>373</v>
      </c>
      <c r="D236" s="69">
        <v>0</v>
      </c>
      <c r="E236" s="69">
        <v>8804.7000000000007</v>
      </c>
      <c r="F236" s="69">
        <v>5600</v>
      </c>
      <c r="G236" s="69">
        <f t="shared" si="6"/>
        <v>3204.7000000000007</v>
      </c>
      <c r="H236" s="69">
        <f t="shared" si="7"/>
        <v>3204.7000000000007</v>
      </c>
      <c r="I236" s="78" t="s">
        <v>661</v>
      </c>
    </row>
    <row r="237" spans="2:9" x14ac:dyDescent="0.3">
      <c r="B237" s="67" t="s">
        <v>374</v>
      </c>
      <c r="C237" s="67" t="s">
        <v>375</v>
      </c>
      <c r="D237" s="69">
        <v>0</v>
      </c>
      <c r="E237" s="69">
        <v>12391313.380000001</v>
      </c>
      <c r="F237" s="69">
        <v>8308873.0599999996</v>
      </c>
      <c r="G237" s="69">
        <f t="shared" si="6"/>
        <v>4082440.3200000012</v>
      </c>
      <c r="H237" s="69">
        <f t="shared" si="7"/>
        <v>4082440.3200000012</v>
      </c>
      <c r="I237" s="78" t="s">
        <v>661</v>
      </c>
    </row>
    <row r="238" spans="2:9" x14ac:dyDescent="0.3">
      <c r="B238" s="67" t="s">
        <v>376</v>
      </c>
      <c r="C238" s="67" t="s">
        <v>377</v>
      </c>
      <c r="D238" s="69">
        <v>0</v>
      </c>
      <c r="E238" s="69">
        <v>105562.97</v>
      </c>
      <c r="F238" s="69">
        <v>71993.05</v>
      </c>
      <c r="G238" s="69">
        <f t="shared" si="6"/>
        <v>33569.919999999998</v>
      </c>
      <c r="H238" s="69">
        <f t="shared" si="7"/>
        <v>33569.919999999998</v>
      </c>
      <c r="I238" s="78" t="s">
        <v>661</v>
      </c>
    </row>
    <row r="239" spans="2:9" x14ac:dyDescent="0.3">
      <c r="B239" s="67" t="s">
        <v>378</v>
      </c>
      <c r="C239" s="67" t="s">
        <v>379</v>
      </c>
      <c r="D239" s="69">
        <v>0</v>
      </c>
      <c r="E239" s="69">
        <v>0</v>
      </c>
      <c r="F239" s="69">
        <v>156292.15</v>
      </c>
      <c r="G239" s="69">
        <f t="shared" si="6"/>
        <v>-156292.15</v>
      </c>
      <c r="H239" s="69">
        <f t="shared" si="7"/>
        <v>-156292.15</v>
      </c>
      <c r="I239" s="78" t="s">
        <v>661</v>
      </c>
    </row>
    <row r="240" spans="2:9" x14ac:dyDescent="0.3">
      <c r="B240" s="75" t="s">
        <v>380</v>
      </c>
      <c r="C240" s="75" t="s">
        <v>381</v>
      </c>
      <c r="D240" s="76"/>
      <c r="E240" s="76"/>
      <c r="F240" s="76"/>
      <c r="G240" s="76">
        <f t="shared" si="6"/>
        <v>0</v>
      </c>
      <c r="H240" s="76">
        <f t="shared" si="7"/>
        <v>0</v>
      </c>
      <c r="I240" s="78" t="s">
        <v>661</v>
      </c>
    </row>
    <row r="241" spans="2:9" x14ac:dyDescent="0.3">
      <c r="B241" s="67" t="s">
        <v>382</v>
      </c>
      <c r="C241" s="67" t="s">
        <v>383</v>
      </c>
      <c r="D241" s="69">
        <v>0</v>
      </c>
      <c r="E241" s="69">
        <v>698689</v>
      </c>
      <c r="F241" s="69">
        <v>5000</v>
      </c>
      <c r="G241" s="69">
        <f t="shared" si="6"/>
        <v>693689</v>
      </c>
      <c r="H241" s="69">
        <f t="shared" si="7"/>
        <v>693689</v>
      </c>
      <c r="I241" s="78" t="s">
        <v>661</v>
      </c>
    </row>
    <row r="242" spans="2:9" x14ac:dyDescent="0.3">
      <c r="B242" s="67" t="s">
        <v>384</v>
      </c>
      <c r="C242" s="67" t="s">
        <v>385</v>
      </c>
      <c r="D242" s="69">
        <v>0</v>
      </c>
      <c r="E242" s="69">
        <v>55494</v>
      </c>
      <c r="F242" s="69">
        <v>0</v>
      </c>
      <c r="G242" s="69">
        <f t="shared" si="6"/>
        <v>55494</v>
      </c>
      <c r="H242" s="69">
        <f t="shared" si="7"/>
        <v>55494</v>
      </c>
      <c r="I242" s="78" t="s">
        <v>661</v>
      </c>
    </row>
    <row r="243" spans="2:9" x14ac:dyDescent="0.3">
      <c r="B243" s="67" t="s">
        <v>386</v>
      </c>
      <c r="C243" s="67" t="s">
        <v>387</v>
      </c>
      <c r="D243" s="69">
        <v>0</v>
      </c>
      <c r="E243" s="69">
        <v>84243.08</v>
      </c>
      <c r="F243" s="69">
        <v>3086</v>
      </c>
      <c r="G243" s="69">
        <f t="shared" si="6"/>
        <v>81157.08</v>
      </c>
      <c r="H243" s="69">
        <f t="shared" si="7"/>
        <v>81157.08</v>
      </c>
      <c r="I243" s="78" t="s">
        <v>661</v>
      </c>
    </row>
    <row r="244" spans="2:9" x14ac:dyDescent="0.3">
      <c r="B244" s="67" t="s">
        <v>388</v>
      </c>
      <c r="C244" s="67" t="s">
        <v>389</v>
      </c>
      <c r="D244" s="69">
        <v>0</v>
      </c>
      <c r="E244" s="69">
        <v>16</v>
      </c>
      <c r="F244" s="69">
        <v>0</v>
      </c>
      <c r="G244" s="69">
        <f t="shared" si="6"/>
        <v>16</v>
      </c>
      <c r="H244" s="69">
        <f t="shared" si="7"/>
        <v>16</v>
      </c>
      <c r="I244" s="78" t="s">
        <v>661</v>
      </c>
    </row>
    <row r="245" spans="2:9" x14ac:dyDescent="0.3">
      <c r="B245" s="67" t="s">
        <v>390</v>
      </c>
      <c r="C245" s="67" t="s">
        <v>391</v>
      </c>
      <c r="D245" s="69">
        <v>0</v>
      </c>
      <c r="E245" s="69">
        <v>32756.74</v>
      </c>
      <c r="F245" s="69">
        <v>5988.16</v>
      </c>
      <c r="G245" s="69">
        <f t="shared" si="6"/>
        <v>26768.58</v>
      </c>
      <c r="H245" s="69">
        <f t="shared" si="7"/>
        <v>26768.58</v>
      </c>
      <c r="I245" s="78" t="s">
        <v>661</v>
      </c>
    </row>
    <row r="246" spans="2:9" x14ac:dyDescent="0.3">
      <c r="B246" s="67" t="s">
        <v>392</v>
      </c>
      <c r="C246" s="67" t="s">
        <v>393</v>
      </c>
      <c r="D246" s="69">
        <v>0</v>
      </c>
      <c r="E246" s="69">
        <v>34105.25</v>
      </c>
      <c r="F246" s="69">
        <v>2393.75</v>
      </c>
      <c r="G246" s="69">
        <f t="shared" si="6"/>
        <v>31711.5</v>
      </c>
      <c r="H246" s="69">
        <f t="shared" si="7"/>
        <v>31711.5</v>
      </c>
      <c r="I246" s="78" t="s">
        <v>661</v>
      </c>
    </row>
    <row r="247" spans="2:9" x14ac:dyDescent="0.3">
      <c r="B247" s="67" t="s">
        <v>394</v>
      </c>
      <c r="C247" s="67" t="s">
        <v>395</v>
      </c>
      <c r="D247" s="69">
        <v>0</v>
      </c>
      <c r="E247" s="69">
        <v>62091.24</v>
      </c>
      <c r="F247" s="69">
        <v>19317.240000000002</v>
      </c>
      <c r="G247" s="69">
        <f t="shared" si="6"/>
        <v>42774</v>
      </c>
      <c r="H247" s="69">
        <f t="shared" si="7"/>
        <v>42774</v>
      </c>
      <c r="I247" s="78" t="s">
        <v>661</v>
      </c>
    </row>
    <row r="248" spans="2:9" x14ac:dyDescent="0.3">
      <c r="B248" s="67" t="s">
        <v>396</v>
      </c>
      <c r="C248" s="67" t="s">
        <v>397</v>
      </c>
      <c r="D248" s="69">
        <v>0</v>
      </c>
      <c r="E248" s="69">
        <v>3256.25</v>
      </c>
      <c r="F248" s="69">
        <v>0</v>
      </c>
      <c r="G248" s="69">
        <f t="shared" si="6"/>
        <v>3256.25</v>
      </c>
      <c r="H248" s="69">
        <f t="shared" si="7"/>
        <v>3256.25</v>
      </c>
      <c r="I248" s="78" t="s">
        <v>661</v>
      </c>
    </row>
    <row r="249" spans="2:9" x14ac:dyDescent="0.3">
      <c r="B249" s="67" t="s">
        <v>398</v>
      </c>
      <c r="C249" s="67" t="s">
        <v>399</v>
      </c>
      <c r="D249" s="69">
        <v>0</v>
      </c>
      <c r="E249" s="69">
        <v>1871.87</v>
      </c>
      <c r="F249" s="69">
        <v>0</v>
      </c>
      <c r="G249" s="69">
        <f t="shared" si="6"/>
        <v>1871.87</v>
      </c>
      <c r="H249" s="69">
        <f t="shared" si="7"/>
        <v>1871.87</v>
      </c>
      <c r="I249" s="78" t="s">
        <v>661</v>
      </c>
    </row>
    <row r="250" spans="2:9" x14ac:dyDescent="0.3">
      <c r="B250" s="67" t="s">
        <v>400</v>
      </c>
      <c r="C250" s="67" t="s">
        <v>401</v>
      </c>
      <c r="D250" s="69">
        <v>0</v>
      </c>
      <c r="E250" s="69">
        <v>10000</v>
      </c>
      <c r="F250" s="69">
        <v>0</v>
      </c>
      <c r="G250" s="69">
        <f t="shared" si="6"/>
        <v>10000</v>
      </c>
      <c r="H250" s="69">
        <f t="shared" si="7"/>
        <v>10000</v>
      </c>
      <c r="I250" s="78" t="s">
        <v>661</v>
      </c>
    </row>
    <row r="251" spans="2:9" x14ac:dyDescent="0.3">
      <c r="B251" s="67" t="s">
        <v>402</v>
      </c>
      <c r="C251" s="67" t="s">
        <v>403</v>
      </c>
      <c r="D251" s="69">
        <v>0</v>
      </c>
      <c r="E251" s="69">
        <v>134101.78</v>
      </c>
      <c r="F251" s="69">
        <v>23537</v>
      </c>
      <c r="G251" s="69">
        <f t="shared" si="6"/>
        <v>110564.78</v>
      </c>
      <c r="H251" s="69">
        <f t="shared" si="7"/>
        <v>110564.78</v>
      </c>
      <c r="I251" s="78" t="s">
        <v>661</v>
      </c>
    </row>
    <row r="252" spans="2:9" x14ac:dyDescent="0.3">
      <c r="B252" s="67" t="s">
        <v>404</v>
      </c>
      <c r="C252" s="67" t="s">
        <v>405</v>
      </c>
      <c r="D252" s="69">
        <v>0</v>
      </c>
      <c r="E252" s="69">
        <v>325</v>
      </c>
      <c r="F252" s="69">
        <v>0</v>
      </c>
      <c r="G252" s="69">
        <f t="shared" si="6"/>
        <v>325</v>
      </c>
      <c r="H252" s="69">
        <f t="shared" si="7"/>
        <v>325</v>
      </c>
      <c r="I252" s="78" t="s">
        <v>661</v>
      </c>
    </row>
    <row r="253" spans="2:9" x14ac:dyDescent="0.3">
      <c r="B253" s="67" t="s">
        <v>406</v>
      </c>
      <c r="C253" s="67" t="s">
        <v>407</v>
      </c>
      <c r="D253" s="69">
        <v>0</v>
      </c>
      <c r="E253" s="69">
        <v>18600</v>
      </c>
      <c r="F253" s="69">
        <v>0</v>
      </c>
      <c r="G253" s="69">
        <f t="shared" si="6"/>
        <v>18600</v>
      </c>
      <c r="H253" s="69">
        <f t="shared" si="7"/>
        <v>18600</v>
      </c>
      <c r="I253" s="78" t="s">
        <v>661</v>
      </c>
    </row>
    <row r="254" spans="2:9" x14ac:dyDescent="0.3">
      <c r="B254" s="67" t="s">
        <v>408</v>
      </c>
      <c r="C254" s="67" t="s">
        <v>409</v>
      </c>
      <c r="D254" s="69">
        <v>0</v>
      </c>
      <c r="E254" s="69">
        <v>1900</v>
      </c>
      <c r="F254" s="69">
        <v>0</v>
      </c>
      <c r="G254" s="69">
        <f t="shared" si="6"/>
        <v>1900</v>
      </c>
      <c r="H254" s="69">
        <f t="shared" si="7"/>
        <v>1900</v>
      </c>
      <c r="I254" s="78" t="s">
        <v>661</v>
      </c>
    </row>
    <row r="255" spans="2:9" x14ac:dyDescent="0.3">
      <c r="B255" s="67" t="s">
        <v>410</v>
      </c>
      <c r="C255" s="67" t="s">
        <v>411</v>
      </c>
      <c r="D255" s="69">
        <v>0</v>
      </c>
      <c r="E255" s="69">
        <v>32677</v>
      </c>
      <c r="F255" s="69">
        <v>0</v>
      </c>
      <c r="G255" s="69">
        <f t="shared" si="6"/>
        <v>32677</v>
      </c>
      <c r="H255" s="69">
        <f t="shared" si="7"/>
        <v>32677</v>
      </c>
      <c r="I255" s="78" t="s">
        <v>661</v>
      </c>
    </row>
    <row r="256" spans="2:9" x14ac:dyDescent="0.3">
      <c r="B256" s="75" t="s">
        <v>412</v>
      </c>
      <c r="C256" s="75" t="s">
        <v>413</v>
      </c>
      <c r="D256" s="76"/>
      <c r="E256" s="76"/>
      <c r="F256" s="76"/>
      <c r="G256" s="76">
        <f t="shared" si="6"/>
        <v>0</v>
      </c>
      <c r="H256" s="76">
        <f t="shared" si="7"/>
        <v>0</v>
      </c>
      <c r="I256" s="78" t="s">
        <v>661</v>
      </c>
    </row>
    <row r="257" spans="2:9" x14ac:dyDescent="0.3">
      <c r="B257" s="67" t="s">
        <v>414</v>
      </c>
      <c r="C257" s="67" t="s">
        <v>415</v>
      </c>
      <c r="D257" s="69">
        <v>0</v>
      </c>
      <c r="E257" s="69">
        <v>5892.6</v>
      </c>
      <c r="F257" s="69">
        <v>0</v>
      </c>
      <c r="G257" s="69">
        <f t="shared" si="6"/>
        <v>5892.6</v>
      </c>
      <c r="H257" s="69">
        <f t="shared" si="7"/>
        <v>5892.6</v>
      </c>
      <c r="I257" s="78" t="s">
        <v>661</v>
      </c>
    </row>
    <row r="258" spans="2:9" x14ac:dyDescent="0.3">
      <c r="B258" s="67" t="s">
        <v>416</v>
      </c>
      <c r="C258" s="67" t="s">
        <v>417</v>
      </c>
      <c r="D258" s="69">
        <v>0</v>
      </c>
      <c r="E258" s="69">
        <v>62730</v>
      </c>
      <c r="F258" s="69">
        <v>0</v>
      </c>
      <c r="G258" s="69">
        <f t="shared" si="6"/>
        <v>62730</v>
      </c>
      <c r="H258" s="69">
        <f t="shared" si="7"/>
        <v>62730</v>
      </c>
      <c r="I258" s="78" t="s">
        <v>661</v>
      </c>
    </row>
    <row r="259" spans="2:9" x14ac:dyDescent="0.3">
      <c r="B259" s="67" t="s">
        <v>418</v>
      </c>
      <c r="C259" s="67" t="s">
        <v>419</v>
      </c>
      <c r="D259" s="69">
        <v>0</v>
      </c>
      <c r="E259" s="69">
        <v>1050</v>
      </c>
      <c r="F259" s="69">
        <v>0</v>
      </c>
      <c r="G259" s="69">
        <f t="shared" si="6"/>
        <v>1050</v>
      </c>
      <c r="H259" s="69">
        <f t="shared" si="7"/>
        <v>1050</v>
      </c>
      <c r="I259" s="78" t="s">
        <v>661</v>
      </c>
    </row>
    <row r="260" spans="2:9" x14ac:dyDescent="0.3">
      <c r="B260" s="75" t="s">
        <v>420</v>
      </c>
      <c r="C260" s="75" t="s">
        <v>421</v>
      </c>
      <c r="D260" s="76"/>
      <c r="E260" s="76"/>
      <c r="F260" s="76"/>
      <c r="G260" s="76">
        <f t="shared" si="6"/>
        <v>0</v>
      </c>
      <c r="H260" s="76">
        <f t="shared" si="7"/>
        <v>0</v>
      </c>
      <c r="I260" s="78" t="s">
        <v>661</v>
      </c>
    </row>
    <row r="261" spans="2:9" x14ac:dyDescent="0.3">
      <c r="B261" s="67" t="s">
        <v>422</v>
      </c>
      <c r="C261" s="67" t="s">
        <v>423</v>
      </c>
      <c r="D261" s="69">
        <v>0</v>
      </c>
      <c r="E261" s="69">
        <v>53505.71</v>
      </c>
      <c r="F261" s="69">
        <v>0</v>
      </c>
      <c r="G261" s="69">
        <f t="shared" si="6"/>
        <v>53505.71</v>
      </c>
      <c r="H261" s="69">
        <f t="shared" si="7"/>
        <v>53505.71</v>
      </c>
      <c r="I261" s="78" t="s">
        <v>661</v>
      </c>
    </row>
    <row r="262" spans="2:9" x14ac:dyDescent="0.3">
      <c r="B262" s="67" t="s">
        <v>424</v>
      </c>
      <c r="C262" s="67" t="s">
        <v>425</v>
      </c>
      <c r="D262" s="69">
        <v>0</v>
      </c>
      <c r="E262" s="69">
        <v>409.18</v>
      </c>
      <c r="F262" s="69">
        <v>0</v>
      </c>
      <c r="G262" s="69">
        <f t="shared" si="6"/>
        <v>409.18</v>
      </c>
      <c r="H262" s="69">
        <f t="shared" si="7"/>
        <v>409.18</v>
      </c>
      <c r="I262" s="78" t="s">
        <v>661</v>
      </c>
    </row>
    <row r="263" spans="2:9" x14ac:dyDescent="0.3">
      <c r="B263" s="67" t="s">
        <v>426</v>
      </c>
      <c r="C263" s="67" t="s">
        <v>427</v>
      </c>
      <c r="D263" s="69">
        <v>0</v>
      </c>
      <c r="E263" s="69">
        <v>28603.55</v>
      </c>
      <c r="F263" s="69">
        <v>0</v>
      </c>
      <c r="G263" s="69">
        <f t="shared" si="6"/>
        <v>28603.55</v>
      </c>
      <c r="H263" s="69">
        <f t="shared" si="7"/>
        <v>28603.55</v>
      </c>
      <c r="I263" s="78" t="s">
        <v>661</v>
      </c>
    </row>
    <row r="264" spans="2:9" x14ac:dyDescent="0.3">
      <c r="B264" s="67" t="s">
        <v>428</v>
      </c>
      <c r="C264" s="67" t="s">
        <v>429</v>
      </c>
      <c r="D264" s="69">
        <v>0</v>
      </c>
      <c r="E264" s="69">
        <v>2297.83</v>
      </c>
      <c r="F264" s="69">
        <v>0</v>
      </c>
      <c r="G264" s="69">
        <f t="shared" ref="G264:G327" si="8">E264-F264</f>
        <v>2297.83</v>
      </c>
      <c r="H264" s="69">
        <f t="shared" ref="H264:H327" si="9">D264+G264</f>
        <v>2297.83</v>
      </c>
      <c r="I264" s="78" t="s">
        <v>661</v>
      </c>
    </row>
    <row r="265" spans="2:9" x14ac:dyDescent="0.3">
      <c r="B265" s="67" t="s">
        <v>430</v>
      </c>
      <c r="C265" s="67" t="s">
        <v>431</v>
      </c>
      <c r="D265" s="69">
        <v>0</v>
      </c>
      <c r="E265" s="69">
        <v>33359.54</v>
      </c>
      <c r="F265" s="69">
        <v>0</v>
      </c>
      <c r="G265" s="69">
        <f t="shared" si="8"/>
        <v>33359.54</v>
      </c>
      <c r="H265" s="69">
        <f t="shared" si="9"/>
        <v>33359.54</v>
      </c>
      <c r="I265" s="78" t="s">
        <v>661</v>
      </c>
    </row>
    <row r="266" spans="2:9" x14ac:dyDescent="0.3">
      <c r="B266" s="67" t="s">
        <v>432</v>
      </c>
      <c r="C266" s="67" t="s">
        <v>433</v>
      </c>
      <c r="D266" s="69">
        <v>0</v>
      </c>
      <c r="E266" s="69">
        <v>263.93</v>
      </c>
      <c r="F266" s="69">
        <v>0</v>
      </c>
      <c r="G266" s="69">
        <f t="shared" si="8"/>
        <v>263.93</v>
      </c>
      <c r="H266" s="69">
        <f t="shared" si="9"/>
        <v>263.93</v>
      </c>
      <c r="I266" s="78" t="s">
        <v>661</v>
      </c>
    </row>
    <row r="267" spans="2:9" x14ac:dyDescent="0.3">
      <c r="B267" s="67" t="s">
        <v>434</v>
      </c>
      <c r="C267" s="67" t="s">
        <v>435</v>
      </c>
      <c r="D267" s="69">
        <v>0</v>
      </c>
      <c r="E267" s="69">
        <v>4303.32</v>
      </c>
      <c r="F267" s="69">
        <v>0</v>
      </c>
      <c r="G267" s="69">
        <f t="shared" si="8"/>
        <v>4303.32</v>
      </c>
      <c r="H267" s="69">
        <f t="shared" si="9"/>
        <v>4303.32</v>
      </c>
      <c r="I267" s="78" t="s">
        <v>661</v>
      </c>
    </row>
    <row r="268" spans="2:9" x14ac:dyDescent="0.3">
      <c r="B268" s="75" t="s">
        <v>436</v>
      </c>
      <c r="C268" s="75" t="s">
        <v>437</v>
      </c>
      <c r="D268" s="76"/>
      <c r="E268" s="76"/>
      <c r="F268" s="76"/>
      <c r="G268" s="76">
        <f t="shared" si="8"/>
        <v>0</v>
      </c>
      <c r="H268" s="76">
        <f t="shared" si="9"/>
        <v>0</v>
      </c>
      <c r="I268" s="78" t="s">
        <v>661</v>
      </c>
    </row>
    <row r="269" spans="2:9" x14ac:dyDescent="0.3">
      <c r="B269" s="67" t="s">
        <v>438</v>
      </c>
      <c r="C269" s="67" t="s">
        <v>439</v>
      </c>
      <c r="D269" s="69">
        <v>0</v>
      </c>
      <c r="E269" s="69">
        <v>618.97</v>
      </c>
      <c r="F269" s="69">
        <v>0</v>
      </c>
      <c r="G269" s="69">
        <f t="shared" si="8"/>
        <v>618.97</v>
      </c>
      <c r="H269" s="69">
        <f t="shared" si="9"/>
        <v>618.97</v>
      </c>
      <c r="I269" s="78" t="s">
        <v>661</v>
      </c>
    </row>
    <row r="270" spans="2:9" x14ac:dyDescent="0.3">
      <c r="B270" s="67" t="s">
        <v>440</v>
      </c>
      <c r="C270" s="67" t="s">
        <v>441</v>
      </c>
      <c r="D270" s="69">
        <v>0</v>
      </c>
      <c r="E270" s="69">
        <v>4124.78</v>
      </c>
      <c r="F270" s="69">
        <v>0</v>
      </c>
      <c r="G270" s="69">
        <f t="shared" si="8"/>
        <v>4124.78</v>
      </c>
      <c r="H270" s="69">
        <f t="shared" si="9"/>
        <v>4124.78</v>
      </c>
      <c r="I270" s="78" t="s">
        <v>661</v>
      </c>
    </row>
    <row r="271" spans="2:9" x14ac:dyDescent="0.3">
      <c r="B271" s="67" t="s">
        <v>442</v>
      </c>
      <c r="C271" s="67" t="s">
        <v>443</v>
      </c>
      <c r="D271" s="69">
        <v>0</v>
      </c>
      <c r="E271" s="69">
        <v>1834.78</v>
      </c>
      <c r="F271" s="69">
        <v>0</v>
      </c>
      <c r="G271" s="69">
        <f t="shared" si="8"/>
        <v>1834.78</v>
      </c>
      <c r="H271" s="69">
        <f t="shared" si="9"/>
        <v>1834.78</v>
      </c>
      <c r="I271" s="78" t="s">
        <v>661</v>
      </c>
    </row>
    <row r="272" spans="2:9" x14ac:dyDescent="0.3">
      <c r="B272" s="67" t="s">
        <v>444</v>
      </c>
      <c r="C272" s="67" t="s">
        <v>445</v>
      </c>
      <c r="D272" s="69">
        <v>0</v>
      </c>
      <c r="E272" s="69">
        <v>710.9</v>
      </c>
      <c r="F272" s="69">
        <v>0</v>
      </c>
      <c r="G272" s="69">
        <f t="shared" si="8"/>
        <v>710.9</v>
      </c>
      <c r="H272" s="69">
        <f t="shared" si="9"/>
        <v>710.9</v>
      </c>
      <c r="I272" s="78" t="s">
        <v>661</v>
      </c>
    </row>
    <row r="273" spans="2:9" x14ac:dyDescent="0.3">
      <c r="B273" s="67" t="s">
        <v>446</v>
      </c>
      <c r="C273" s="67" t="s">
        <v>447</v>
      </c>
      <c r="D273" s="69">
        <v>0</v>
      </c>
      <c r="E273" s="69">
        <v>263.29000000000002</v>
      </c>
      <c r="F273" s="69">
        <v>0</v>
      </c>
      <c r="G273" s="69">
        <f t="shared" si="8"/>
        <v>263.29000000000002</v>
      </c>
      <c r="H273" s="69">
        <f t="shared" si="9"/>
        <v>263.29000000000002</v>
      </c>
      <c r="I273" s="78" t="s">
        <v>661</v>
      </c>
    </row>
    <row r="274" spans="2:9" x14ac:dyDescent="0.3">
      <c r="B274" s="67" t="s">
        <v>448</v>
      </c>
      <c r="C274" s="67" t="s">
        <v>449</v>
      </c>
      <c r="D274" s="69">
        <v>0</v>
      </c>
      <c r="E274" s="69">
        <v>2062.23</v>
      </c>
      <c r="F274" s="69">
        <v>0</v>
      </c>
      <c r="G274" s="69">
        <f t="shared" si="8"/>
        <v>2062.23</v>
      </c>
      <c r="H274" s="69">
        <f t="shared" si="9"/>
        <v>2062.23</v>
      </c>
      <c r="I274" s="78" t="s">
        <v>661</v>
      </c>
    </row>
    <row r="275" spans="2:9" x14ac:dyDescent="0.3">
      <c r="B275" s="67" t="s">
        <v>450</v>
      </c>
      <c r="C275" s="67" t="s">
        <v>451</v>
      </c>
      <c r="D275" s="69">
        <v>0</v>
      </c>
      <c r="E275" s="69">
        <v>5439.67</v>
      </c>
      <c r="F275" s="69">
        <v>0</v>
      </c>
      <c r="G275" s="69">
        <f t="shared" si="8"/>
        <v>5439.67</v>
      </c>
      <c r="H275" s="69">
        <f t="shared" si="9"/>
        <v>5439.67</v>
      </c>
      <c r="I275" s="78" t="s">
        <v>661</v>
      </c>
    </row>
    <row r="276" spans="2:9" x14ac:dyDescent="0.3">
      <c r="B276" s="67" t="s">
        <v>452</v>
      </c>
      <c r="C276" s="67" t="s">
        <v>453</v>
      </c>
      <c r="D276" s="69">
        <v>0</v>
      </c>
      <c r="E276" s="69">
        <v>490</v>
      </c>
      <c r="F276" s="69">
        <v>0</v>
      </c>
      <c r="G276" s="69">
        <f t="shared" si="8"/>
        <v>490</v>
      </c>
      <c r="H276" s="69">
        <f t="shared" si="9"/>
        <v>490</v>
      </c>
      <c r="I276" s="78" t="s">
        <v>661</v>
      </c>
    </row>
    <row r="277" spans="2:9" x14ac:dyDescent="0.3">
      <c r="B277" s="67" t="s">
        <v>454</v>
      </c>
      <c r="C277" s="67" t="s">
        <v>455</v>
      </c>
      <c r="D277" s="69">
        <v>0</v>
      </c>
      <c r="E277" s="69">
        <v>21630.98</v>
      </c>
      <c r="F277" s="69">
        <v>0</v>
      </c>
      <c r="G277" s="69">
        <f t="shared" si="8"/>
        <v>21630.98</v>
      </c>
      <c r="H277" s="69">
        <f t="shared" si="9"/>
        <v>21630.98</v>
      </c>
      <c r="I277" s="78" t="s">
        <v>661</v>
      </c>
    </row>
    <row r="278" spans="2:9" x14ac:dyDescent="0.3">
      <c r="B278" s="67" t="s">
        <v>456</v>
      </c>
      <c r="C278" s="67" t="s">
        <v>457</v>
      </c>
      <c r="D278" s="69">
        <v>0</v>
      </c>
      <c r="E278" s="69">
        <v>16279.06</v>
      </c>
      <c r="F278" s="69">
        <v>130</v>
      </c>
      <c r="G278" s="69">
        <f t="shared" si="8"/>
        <v>16149.06</v>
      </c>
      <c r="H278" s="69">
        <f t="shared" si="9"/>
        <v>16149.06</v>
      </c>
      <c r="I278" s="78" t="s">
        <v>661</v>
      </c>
    </row>
    <row r="279" spans="2:9" x14ac:dyDescent="0.3">
      <c r="B279" s="67" t="s">
        <v>458</v>
      </c>
      <c r="C279" s="67" t="s">
        <v>459</v>
      </c>
      <c r="D279" s="69">
        <v>0</v>
      </c>
      <c r="E279" s="69">
        <v>100</v>
      </c>
      <c r="F279" s="69">
        <v>0</v>
      </c>
      <c r="G279" s="69">
        <f t="shared" si="8"/>
        <v>100</v>
      </c>
      <c r="H279" s="69">
        <f t="shared" si="9"/>
        <v>100</v>
      </c>
      <c r="I279" s="78" t="s">
        <v>661</v>
      </c>
    </row>
    <row r="280" spans="2:9" x14ac:dyDescent="0.3">
      <c r="B280" s="67" t="s">
        <v>460</v>
      </c>
      <c r="C280" s="67" t="s">
        <v>461</v>
      </c>
      <c r="D280" s="69">
        <v>0</v>
      </c>
      <c r="E280" s="69">
        <v>311.27</v>
      </c>
      <c r="F280" s="69">
        <v>0</v>
      </c>
      <c r="G280" s="69">
        <f t="shared" si="8"/>
        <v>311.27</v>
      </c>
      <c r="H280" s="69">
        <f t="shared" si="9"/>
        <v>311.27</v>
      </c>
      <c r="I280" s="78" t="s">
        <v>661</v>
      </c>
    </row>
    <row r="281" spans="2:9" x14ac:dyDescent="0.3">
      <c r="B281" s="67" t="s">
        <v>462</v>
      </c>
      <c r="C281" s="67" t="s">
        <v>463</v>
      </c>
      <c r="D281" s="69">
        <v>0</v>
      </c>
      <c r="E281" s="69">
        <v>626</v>
      </c>
      <c r="F281" s="69">
        <v>0</v>
      </c>
      <c r="G281" s="69">
        <f t="shared" si="8"/>
        <v>626</v>
      </c>
      <c r="H281" s="69">
        <f t="shared" si="9"/>
        <v>626</v>
      </c>
      <c r="I281" s="78" t="s">
        <v>661</v>
      </c>
    </row>
    <row r="282" spans="2:9" x14ac:dyDescent="0.3">
      <c r="B282" s="67" t="s">
        <v>464</v>
      </c>
      <c r="C282" s="67" t="s">
        <v>465</v>
      </c>
      <c r="D282" s="69">
        <v>0</v>
      </c>
      <c r="E282" s="69">
        <v>589.35</v>
      </c>
      <c r="F282" s="69">
        <v>0</v>
      </c>
      <c r="G282" s="69">
        <f t="shared" si="8"/>
        <v>589.35</v>
      </c>
      <c r="H282" s="69">
        <f t="shared" si="9"/>
        <v>589.35</v>
      </c>
      <c r="I282" s="78" t="s">
        <v>661</v>
      </c>
    </row>
    <row r="283" spans="2:9" x14ac:dyDescent="0.3">
      <c r="B283" s="67" t="s">
        <v>466</v>
      </c>
      <c r="C283" s="67" t="s">
        <v>467</v>
      </c>
      <c r="D283" s="69">
        <v>0</v>
      </c>
      <c r="E283" s="69">
        <v>5358.48</v>
      </c>
      <c r="F283" s="69">
        <v>0</v>
      </c>
      <c r="G283" s="69">
        <f t="shared" si="8"/>
        <v>5358.48</v>
      </c>
      <c r="H283" s="69">
        <f t="shared" si="9"/>
        <v>5358.48</v>
      </c>
      <c r="I283" s="78" t="s">
        <v>661</v>
      </c>
    </row>
    <row r="284" spans="2:9" x14ac:dyDescent="0.3">
      <c r="B284" s="67" t="s">
        <v>468</v>
      </c>
      <c r="C284" s="67" t="s">
        <v>469</v>
      </c>
      <c r="D284" s="69">
        <v>0</v>
      </c>
      <c r="E284" s="69">
        <v>420</v>
      </c>
      <c r="F284" s="69">
        <v>0</v>
      </c>
      <c r="G284" s="69">
        <f t="shared" si="8"/>
        <v>420</v>
      </c>
      <c r="H284" s="69">
        <f t="shared" si="9"/>
        <v>420</v>
      </c>
      <c r="I284" s="78" t="s">
        <v>661</v>
      </c>
    </row>
    <row r="285" spans="2:9" x14ac:dyDescent="0.3">
      <c r="B285" s="67" t="s">
        <v>470</v>
      </c>
      <c r="C285" s="67" t="s">
        <v>471</v>
      </c>
      <c r="D285" s="69">
        <v>0</v>
      </c>
      <c r="E285" s="69">
        <v>530</v>
      </c>
      <c r="F285" s="69">
        <v>0</v>
      </c>
      <c r="G285" s="69">
        <f t="shared" si="8"/>
        <v>530</v>
      </c>
      <c r="H285" s="69">
        <f t="shared" si="9"/>
        <v>530</v>
      </c>
      <c r="I285" s="78" t="s">
        <v>661</v>
      </c>
    </row>
    <row r="286" spans="2:9" x14ac:dyDescent="0.3">
      <c r="B286" s="67" t="s">
        <v>472</v>
      </c>
      <c r="C286" s="67" t="s">
        <v>473</v>
      </c>
      <c r="D286" s="69">
        <v>0</v>
      </c>
      <c r="E286" s="69">
        <v>158.04</v>
      </c>
      <c r="F286" s="69">
        <v>0</v>
      </c>
      <c r="G286" s="69">
        <f t="shared" si="8"/>
        <v>158.04</v>
      </c>
      <c r="H286" s="69">
        <f t="shared" si="9"/>
        <v>158.04</v>
      </c>
      <c r="I286" s="78" t="s">
        <v>661</v>
      </c>
    </row>
    <row r="287" spans="2:9" x14ac:dyDescent="0.3">
      <c r="B287" s="67" t="s">
        <v>474</v>
      </c>
      <c r="C287" s="67" t="s">
        <v>475</v>
      </c>
      <c r="D287" s="69">
        <v>0</v>
      </c>
      <c r="E287" s="69">
        <v>2577.5</v>
      </c>
      <c r="F287" s="69">
        <v>0</v>
      </c>
      <c r="G287" s="69">
        <f t="shared" si="8"/>
        <v>2577.5</v>
      </c>
      <c r="H287" s="69">
        <f t="shared" si="9"/>
        <v>2577.5</v>
      </c>
      <c r="I287" s="78" t="s">
        <v>661</v>
      </c>
    </row>
    <row r="288" spans="2:9" x14ac:dyDescent="0.3">
      <c r="B288" s="67" t="s">
        <v>476</v>
      </c>
      <c r="C288" s="67" t="s">
        <v>477</v>
      </c>
      <c r="D288" s="69">
        <v>0</v>
      </c>
      <c r="E288" s="69">
        <v>2000</v>
      </c>
      <c r="F288" s="69">
        <v>0</v>
      </c>
      <c r="G288" s="69">
        <f t="shared" si="8"/>
        <v>2000</v>
      </c>
      <c r="H288" s="69">
        <f t="shared" si="9"/>
        <v>2000</v>
      </c>
      <c r="I288" s="78" t="s">
        <v>661</v>
      </c>
    </row>
    <row r="289" spans="2:9" x14ac:dyDescent="0.3">
      <c r="B289" s="67" t="s">
        <v>478</v>
      </c>
      <c r="C289" s="67" t="s">
        <v>479</v>
      </c>
      <c r="D289" s="69">
        <v>0</v>
      </c>
      <c r="E289" s="69">
        <v>9989.26</v>
      </c>
      <c r="F289" s="69">
        <v>0</v>
      </c>
      <c r="G289" s="69">
        <f t="shared" si="8"/>
        <v>9989.26</v>
      </c>
      <c r="H289" s="69">
        <f t="shared" si="9"/>
        <v>9989.26</v>
      </c>
      <c r="I289" s="78" t="s">
        <v>661</v>
      </c>
    </row>
    <row r="290" spans="2:9" x14ac:dyDescent="0.3">
      <c r="B290" s="67" t="s">
        <v>480</v>
      </c>
      <c r="C290" s="67" t="s">
        <v>481</v>
      </c>
      <c r="D290" s="69">
        <v>0</v>
      </c>
      <c r="E290" s="69">
        <v>64</v>
      </c>
      <c r="F290" s="69">
        <v>0</v>
      </c>
      <c r="G290" s="69">
        <f t="shared" si="8"/>
        <v>64</v>
      </c>
      <c r="H290" s="69">
        <f t="shared" si="9"/>
        <v>64</v>
      </c>
      <c r="I290" s="78" t="s">
        <v>661</v>
      </c>
    </row>
    <row r="291" spans="2:9" x14ac:dyDescent="0.3">
      <c r="B291" s="67" t="s">
        <v>482</v>
      </c>
      <c r="C291" s="67" t="s">
        <v>483</v>
      </c>
      <c r="D291" s="69">
        <v>0</v>
      </c>
      <c r="E291" s="69">
        <v>950</v>
      </c>
      <c r="F291" s="69">
        <v>0</v>
      </c>
      <c r="G291" s="69">
        <f t="shared" si="8"/>
        <v>950</v>
      </c>
      <c r="H291" s="69">
        <f t="shared" si="9"/>
        <v>950</v>
      </c>
      <c r="I291" s="78" t="s">
        <v>661</v>
      </c>
    </row>
    <row r="292" spans="2:9" x14ac:dyDescent="0.3">
      <c r="B292" s="67" t="s">
        <v>484</v>
      </c>
      <c r="C292" s="67" t="s">
        <v>485</v>
      </c>
      <c r="D292" s="69">
        <v>0</v>
      </c>
      <c r="E292" s="69">
        <v>12685.35</v>
      </c>
      <c r="F292" s="69">
        <v>0</v>
      </c>
      <c r="G292" s="69">
        <f t="shared" si="8"/>
        <v>12685.35</v>
      </c>
      <c r="H292" s="69">
        <f t="shared" si="9"/>
        <v>12685.35</v>
      </c>
      <c r="I292" s="78" t="s">
        <v>661</v>
      </c>
    </row>
    <row r="293" spans="2:9" x14ac:dyDescent="0.3">
      <c r="B293" s="67" t="s">
        <v>486</v>
      </c>
      <c r="C293" s="67" t="s">
        <v>487</v>
      </c>
      <c r="D293" s="69">
        <v>0</v>
      </c>
      <c r="E293" s="69">
        <v>3026.02</v>
      </c>
      <c r="F293" s="69">
        <v>0</v>
      </c>
      <c r="G293" s="69">
        <f t="shared" si="8"/>
        <v>3026.02</v>
      </c>
      <c r="H293" s="69">
        <f t="shared" si="9"/>
        <v>3026.02</v>
      </c>
      <c r="I293" s="78" t="s">
        <v>661</v>
      </c>
    </row>
    <row r="294" spans="2:9" x14ac:dyDescent="0.3">
      <c r="B294" s="75" t="s">
        <v>488</v>
      </c>
      <c r="C294" s="75" t="s">
        <v>489</v>
      </c>
      <c r="D294" s="76"/>
      <c r="E294" s="76"/>
      <c r="F294" s="76"/>
      <c r="G294" s="76">
        <f t="shared" si="8"/>
        <v>0</v>
      </c>
      <c r="H294" s="76">
        <f t="shared" si="9"/>
        <v>0</v>
      </c>
      <c r="I294" s="78" t="s">
        <v>661</v>
      </c>
    </row>
    <row r="295" spans="2:9" x14ac:dyDescent="0.3">
      <c r="B295" s="67" t="s">
        <v>490</v>
      </c>
      <c r="C295" s="67" t="s">
        <v>491</v>
      </c>
      <c r="D295" s="69">
        <v>0</v>
      </c>
      <c r="E295" s="69">
        <v>3028.96</v>
      </c>
      <c r="F295" s="69">
        <v>0</v>
      </c>
      <c r="G295" s="69">
        <f t="shared" si="8"/>
        <v>3028.96</v>
      </c>
      <c r="H295" s="69">
        <f t="shared" si="9"/>
        <v>3028.96</v>
      </c>
      <c r="I295" s="78" t="s">
        <v>661</v>
      </c>
    </row>
    <row r="296" spans="2:9" x14ac:dyDescent="0.3">
      <c r="B296" s="67" t="s">
        <v>492</v>
      </c>
      <c r="C296" s="67" t="s">
        <v>493</v>
      </c>
      <c r="D296" s="69">
        <v>0</v>
      </c>
      <c r="E296" s="69">
        <v>6710</v>
      </c>
      <c r="F296" s="69">
        <v>0</v>
      </c>
      <c r="G296" s="69">
        <f t="shared" si="8"/>
        <v>6710</v>
      </c>
      <c r="H296" s="69">
        <f t="shared" si="9"/>
        <v>6710</v>
      </c>
      <c r="I296" s="78" t="s">
        <v>661</v>
      </c>
    </row>
    <row r="297" spans="2:9" x14ac:dyDescent="0.3">
      <c r="B297" s="67" t="s">
        <v>494</v>
      </c>
      <c r="C297" s="67" t="s">
        <v>495</v>
      </c>
      <c r="D297" s="69">
        <v>0</v>
      </c>
      <c r="E297" s="69">
        <v>20</v>
      </c>
      <c r="F297" s="69">
        <v>0</v>
      </c>
      <c r="G297" s="69">
        <f t="shared" si="8"/>
        <v>20</v>
      </c>
      <c r="H297" s="69">
        <f t="shared" si="9"/>
        <v>20</v>
      </c>
      <c r="I297" s="78" t="s">
        <v>661</v>
      </c>
    </row>
    <row r="298" spans="2:9" x14ac:dyDescent="0.3">
      <c r="B298" s="67" t="s">
        <v>496</v>
      </c>
      <c r="C298" s="67" t="s">
        <v>497</v>
      </c>
      <c r="D298" s="69">
        <v>0</v>
      </c>
      <c r="E298" s="69">
        <v>1974.04</v>
      </c>
      <c r="F298" s="69">
        <v>0</v>
      </c>
      <c r="G298" s="69">
        <f t="shared" si="8"/>
        <v>1974.04</v>
      </c>
      <c r="H298" s="69">
        <f t="shared" si="9"/>
        <v>1974.04</v>
      </c>
      <c r="I298" s="78" t="s">
        <v>661</v>
      </c>
    </row>
    <row r="299" spans="2:9" x14ac:dyDescent="0.3">
      <c r="B299" s="67" t="s">
        <v>498</v>
      </c>
      <c r="C299" s="67" t="s">
        <v>499</v>
      </c>
      <c r="D299" s="69">
        <v>0</v>
      </c>
      <c r="E299" s="69">
        <v>90717.16</v>
      </c>
      <c r="F299" s="69">
        <v>0</v>
      </c>
      <c r="G299" s="69">
        <f t="shared" si="8"/>
        <v>90717.16</v>
      </c>
      <c r="H299" s="69">
        <f t="shared" si="9"/>
        <v>90717.16</v>
      </c>
      <c r="I299" s="78" t="s">
        <v>661</v>
      </c>
    </row>
    <row r="300" spans="2:9" x14ac:dyDescent="0.3">
      <c r="B300" s="67" t="s">
        <v>500</v>
      </c>
      <c r="C300" s="67" t="s">
        <v>501</v>
      </c>
      <c r="D300" s="69">
        <v>0</v>
      </c>
      <c r="E300" s="69">
        <v>1921.66</v>
      </c>
      <c r="F300" s="69">
        <v>0</v>
      </c>
      <c r="G300" s="69">
        <f t="shared" si="8"/>
        <v>1921.66</v>
      </c>
      <c r="H300" s="69">
        <f t="shared" si="9"/>
        <v>1921.66</v>
      </c>
      <c r="I300" s="78" t="s">
        <v>661</v>
      </c>
    </row>
    <row r="301" spans="2:9" x14ac:dyDescent="0.3">
      <c r="B301" s="67" t="s">
        <v>502</v>
      </c>
      <c r="C301" s="67" t="s">
        <v>503</v>
      </c>
      <c r="D301" s="69">
        <v>0</v>
      </c>
      <c r="E301" s="69">
        <v>784.16</v>
      </c>
      <c r="F301" s="69">
        <v>0</v>
      </c>
      <c r="G301" s="69">
        <f t="shared" si="8"/>
        <v>784.16</v>
      </c>
      <c r="H301" s="69">
        <f t="shared" si="9"/>
        <v>784.16</v>
      </c>
      <c r="I301" s="78" t="s">
        <v>661</v>
      </c>
    </row>
    <row r="302" spans="2:9" x14ac:dyDescent="0.3">
      <c r="B302" s="67" t="s">
        <v>504</v>
      </c>
      <c r="C302" s="67" t="s">
        <v>505</v>
      </c>
      <c r="D302" s="69">
        <v>0</v>
      </c>
      <c r="E302" s="69">
        <v>170</v>
      </c>
      <c r="F302" s="69">
        <v>0</v>
      </c>
      <c r="G302" s="69">
        <f t="shared" si="8"/>
        <v>170</v>
      </c>
      <c r="H302" s="69">
        <f t="shared" si="9"/>
        <v>170</v>
      </c>
      <c r="I302" s="78" t="s">
        <v>661</v>
      </c>
    </row>
    <row r="303" spans="2:9" x14ac:dyDescent="0.3">
      <c r="B303" s="75" t="s">
        <v>506</v>
      </c>
      <c r="C303" s="75" t="s">
        <v>507</v>
      </c>
      <c r="D303" s="76"/>
      <c r="E303" s="76"/>
      <c r="F303" s="76"/>
      <c r="G303" s="76">
        <f t="shared" si="8"/>
        <v>0</v>
      </c>
      <c r="H303" s="76">
        <f t="shared" si="9"/>
        <v>0</v>
      </c>
      <c r="I303" s="78" t="s">
        <v>661</v>
      </c>
    </row>
    <row r="304" spans="2:9" x14ac:dyDescent="0.3">
      <c r="B304" s="67" t="s">
        <v>508</v>
      </c>
      <c r="C304" s="67" t="s">
        <v>509</v>
      </c>
      <c r="D304" s="69">
        <v>0</v>
      </c>
      <c r="E304" s="69">
        <v>333</v>
      </c>
      <c r="F304" s="69">
        <v>0</v>
      </c>
      <c r="G304" s="69">
        <f t="shared" si="8"/>
        <v>333</v>
      </c>
      <c r="H304" s="69">
        <f t="shared" si="9"/>
        <v>333</v>
      </c>
      <c r="I304" s="78" t="s">
        <v>661</v>
      </c>
    </row>
    <row r="305" spans="1:9" x14ac:dyDescent="0.3">
      <c r="B305" s="67" t="s">
        <v>510</v>
      </c>
      <c r="C305" s="67" t="s">
        <v>511</v>
      </c>
      <c r="D305" s="69">
        <v>0</v>
      </c>
      <c r="E305" s="69">
        <v>13669.41</v>
      </c>
      <c r="F305" s="69">
        <v>0</v>
      </c>
      <c r="G305" s="69">
        <f t="shared" si="8"/>
        <v>13669.41</v>
      </c>
      <c r="H305" s="69">
        <f t="shared" si="9"/>
        <v>13669.41</v>
      </c>
      <c r="I305" s="78" t="s">
        <v>661</v>
      </c>
    </row>
    <row r="306" spans="1:9" x14ac:dyDescent="0.3">
      <c r="B306" s="67" t="s">
        <v>512</v>
      </c>
      <c r="C306" s="67" t="s">
        <v>513</v>
      </c>
      <c r="D306" s="69">
        <v>0</v>
      </c>
      <c r="E306" s="69">
        <v>2261.89</v>
      </c>
      <c r="F306" s="69">
        <v>0</v>
      </c>
      <c r="G306" s="69">
        <f t="shared" si="8"/>
        <v>2261.89</v>
      </c>
      <c r="H306" s="69">
        <f t="shared" si="9"/>
        <v>2261.89</v>
      </c>
      <c r="I306" s="78" t="s">
        <v>661</v>
      </c>
    </row>
    <row r="307" spans="1:9" x14ac:dyDescent="0.3">
      <c r="B307" s="67" t="s">
        <v>514</v>
      </c>
      <c r="C307" s="67" t="s">
        <v>515</v>
      </c>
      <c r="D307" s="69">
        <v>0</v>
      </c>
      <c r="E307" s="69">
        <v>2861.13</v>
      </c>
      <c r="F307" s="69">
        <v>0</v>
      </c>
      <c r="G307" s="69">
        <f t="shared" si="8"/>
        <v>2861.13</v>
      </c>
      <c r="H307" s="69">
        <f t="shared" si="9"/>
        <v>2861.13</v>
      </c>
      <c r="I307" s="78" t="s">
        <v>661</v>
      </c>
    </row>
    <row r="308" spans="1:9" x14ac:dyDescent="0.3">
      <c r="B308" s="67" t="s">
        <v>516</v>
      </c>
      <c r="C308" s="67" t="s">
        <v>517</v>
      </c>
      <c r="D308" s="69">
        <v>0</v>
      </c>
      <c r="E308" s="69">
        <v>1930.67</v>
      </c>
      <c r="F308" s="69">
        <v>0</v>
      </c>
      <c r="G308" s="69">
        <f t="shared" si="8"/>
        <v>1930.67</v>
      </c>
      <c r="H308" s="69">
        <f t="shared" si="9"/>
        <v>1930.67</v>
      </c>
      <c r="I308" s="78" t="s">
        <v>661</v>
      </c>
    </row>
    <row r="309" spans="1:9" x14ac:dyDescent="0.3">
      <c r="B309" s="67" t="s">
        <v>518</v>
      </c>
      <c r="C309" s="67" t="s">
        <v>519</v>
      </c>
      <c r="D309" s="69">
        <v>0</v>
      </c>
      <c r="E309" s="69">
        <v>1189.5999999999999</v>
      </c>
      <c r="F309" s="69">
        <v>0</v>
      </c>
      <c r="G309" s="69">
        <f t="shared" si="8"/>
        <v>1189.5999999999999</v>
      </c>
      <c r="H309" s="69">
        <f t="shared" si="9"/>
        <v>1189.5999999999999</v>
      </c>
      <c r="I309" s="78" t="s">
        <v>661</v>
      </c>
    </row>
    <row r="310" spans="1:9" x14ac:dyDescent="0.3">
      <c r="B310" s="67" t="s">
        <v>520</v>
      </c>
      <c r="C310" s="67" t="s">
        <v>521</v>
      </c>
      <c r="D310" s="69">
        <v>0</v>
      </c>
      <c r="E310" s="69">
        <v>2910.52</v>
      </c>
      <c r="F310" s="69">
        <v>0</v>
      </c>
      <c r="G310" s="69">
        <f t="shared" si="8"/>
        <v>2910.52</v>
      </c>
      <c r="H310" s="69">
        <f t="shared" si="9"/>
        <v>2910.52</v>
      </c>
      <c r="I310" s="78" t="s">
        <v>661</v>
      </c>
    </row>
    <row r="311" spans="1:9" x14ac:dyDescent="0.3">
      <c r="B311" s="67" t="s">
        <v>522</v>
      </c>
      <c r="C311" s="67" t="s">
        <v>523</v>
      </c>
      <c r="D311" s="69">
        <v>0</v>
      </c>
      <c r="E311" s="69">
        <v>6352.65</v>
      </c>
      <c r="F311" s="69">
        <v>0</v>
      </c>
      <c r="G311" s="69">
        <f t="shared" si="8"/>
        <v>6352.65</v>
      </c>
      <c r="H311" s="69">
        <f t="shared" si="9"/>
        <v>6352.65</v>
      </c>
      <c r="I311" s="78" t="s">
        <v>661</v>
      </c>
    </row>
    <row r="312" spans="1:9" x14ac:dyDescent="0.3">
      <c r="B312" s="67" t="s">
        <v>524</v>
      </c>
      <c r="C312" s="67" t="s">
        <v>525</v>
      </c>
      <c r="D312" s="69">
        <v>0</v>
      </c>
      <c r="E312" s="69">
        <v>1377.05</v>
      </c>
      <c r="F312" s="69">
        <v>0</v>
      </c>
      <c r="G312" s="69">
        <f t="shared" si="8"/>
        <v>1377.05</v>
      </c>
      <c r="H312" s="69">
        <f t="shared" si="9"/>
        <v>1377.05</v>
      </c>
      <c r="I312" s="78" t="s">
        <v>661</v>
      </c>
    </row>
    <row r="313" spans="1:9" x14ac:dyDescent="0.3">
      <c r="A313" s="1"/>
      <c r="B313" s="67" t="s">
        <v>526</v>
      </c>
      <c r="C313" s="67" t="s">
        <v>527</v>
      </c>
      <c r="D313" s="69">
        <v>0</v>
      </c>
      <c r="E313" s="69">
        <v>1303.6199999999999</v>
      </c>
      <c r="F313" s="69">
        <v>0</v>
      </c>
      <c r="G313" s="69">
        <f t="shared" si="8"/>
        <v>1303.6199999999999</v>
      </c>
      <c r="H313" s="69">
        <f t="shared" si="9"/>
        <v>1303.6199999999999</v>
      </c>
      <c r="I313" s="78" t="s">
        <v>661</v>
      </c>
    </row>
    <row r="314" spans="1:9" x14ac:dyDescent="0.3">
      <c r="B314" s="67" t="s">
        <v>528</v>
      </c>
      <c r="C314" s="67" t="s">
        <v>529</v>
      </c>
      <c r="D314" s="69">
        <v>0</v>
      </c>
      <c r="E314" s="69">
        <v>3247.99</v>
      </c>
      <c r="F314" s="69">
        <v>0</v>
      </c>
      <c r="G314" s="69">
        <f t="shared" si="8"/>
        <v>3247.99</v>
      </c>
      <c r="H314" s="69">
        <f t="shared" si="9"/>
        <v>3247.99</v>
      </c>
      <c r="I314" s="78" t="s">
        <v>661</v>
      </c>
    </row>
    <row r="315" spans="1:9" x14ac:dyDescent="0.3">
      <c r="B315" s="67" t="s">
        <v>530</v>
      </c>
      <c r="C315" s="67" t="s">
        <v>531</v>
      </c>
      <c r="D315" s="69">
        <v>0</v>
      </c>
      <c r="E315" s="69">
        <v>2345.62</v>
      </c>
      <c r="F315" s="69">
        <v>0</v>
      </c>
      <c r="G315" s="69">
        <f t="shared" si="8"/>
        <v>2345.62</v>
      </c>
      <c r="H315" s="69">
        <f t="shared" si="9"/>
        <v>2345.62</v>
      </c>
      <c r="I315" s="78" t="s">
        <v>661</v>
      </c>
    </row>
    <row r="316" spans="1:9" x14ac:dyDescent="0.3">
      <c r="B316" s="75" t="s">
        <v>532</v>
      </c>
      <c r="C316" s="75" t="s">
        <v>533</v>
      </c>
      <c r="D316" s="76"/>
      <c r="E316" s="76"/>
      <c r="F316" s="76"/>
      <c r="G316" s="76">
        <f t="shared" si="8"/>
        <v>0</v>
      </c>
      <c r="H316" s="76">
        <f t="shared" si="9"/>
        <v>0</v>
      </c>
      <c r="I316" s="78" t="s">
        <v>661</v>
      </c>
    </row>
    <row r="317" spans="1:9" x14ac:dyDescent="0.3">
      <c r="B317" s="67" t="s">
        <v>534</v>
      </c>
      <c r="C317" s="67" t="s">
        <v>535</v>
      </c>
      <c r="D317" s="69">
        <v>0</v>
      </c>
      <c r="E317" s="69">
        <v>3943.2</v>
      </c>
      <c r="F317" s="69">
        <v>0</v>
      </c>
      <c r="G317" s="69">
        <f t="shared" si="8"/>
        <v>3943.2</v>
      </c>
      <c r="H317" s="69">
        <f t="shared" si="9"/>
        <v>3943.2</v>
      </c>
      <c r="I317" s="78" t="s">
        <v>661</v>
      </c>
    </row>
    <row r="318" spans="1:9" x14ac:dyDescent="0.3">
      <c r="B318" s="67" t="s">
        <v>536</v>
      </c>
      <c r="C318" s="67" t="s">
        <v>537</v>
      </c>
      <c r="D318" s="69">
        <v>0</v>
      </c>
      <c r="E318" s="69">
        <v>3420</v>
      </c>
      <c r="F318" s="69">
        <v>0</v>
      </c>
      <c r="G318" s="69">
        <f t="shared" si="8"/>
        <v>3420</v>
      </c>
      <c r="H318" s="69">
        <f t="shared" si="9"/>
        <v>3420</v>
      </c>
      <c r="I318" s="78" t="s">
        <v>661</v>
      </c>
    </row>
    <row r="319" spans="1:9" x14ac:dyDescent="0.3">
      <c r="B319" s="67" t="s">
        <v>538</v>
      </c>
      <c r="C319" s="67" t="s">
        <v>539</v>
      </c>
      <c r="D319" s="69">
        <v>0</v>
      </c>
      <c r="E319" s="69">
        <v>3500</v>
      </c>
      <c r="F319" s="69">
        <v>0</v>
      </c>
      <c r="G319" s="69">
        <f t="shared" si="8"/>
        <v>3500</v>
      </c>
      <c r="H319" s="69">
        <f t="shared" si="9"/>
        <v>3500</v>
      </c>
      <c r="I319" s="78" t="s">
        <v>661</v>
      </c>
    </row>
    <row r="320" spans="1:9" x14ac:dyDescent="0.3">
      <c r="B320" s="67" t="s">
        <v>540</v>
      </c>
      <c r="C320" s="67" t="s">
        <v>541</v>
      </c>
      <c r="D320" s="69">
        <v>0</v>
      </c>
      <c r="E320" s="69">
        <v>77510.539999999994</v>
      </c>
      <c r="F320" s="69">
        <v>0</v>
      </c>
      <c r="G320" s="69">
        <f t="shared" si="8"/>
        <v>77510.539999999994</v>
      </c>
      <c r="H320" s="69">
        <f t="shared" si="9"/>
        <v>77510.539999999994</v>
      </c>
      <c r="I320" s="78" t="s">
        <v>661</v>
      </c>
    </row>
    <row r="321" spans="2:9" x14ac:dyDescent="0.3">
      <c r="B321" s="75" t="s">
        <v>542</v>
      </c>
      <c r="C321" s="75" t="s">
        <v>543</v>
      </c>
      <c r="D321" s="76"/>
      <c r="E321" s="76"/>
      <c r="F321" s="76"/>
      <c r="G321" s="76">
        <f t="shared" si="8"/>
        <v>0</v>
      </c>
      <c r="H321" s="76">
        <f t="shared" si="9"/>
        <v>0</v>
      </c>
      <c r="I321" s="78" t="s">
        <v>661</v>
      </c>
    </row>
    <row r="322" spans="2:9" x14ac:dyDescent="0.3">
      <c r="B322" s="67" t="s">
        <v>544</v>
      </c>
      <c r="C322" s="67" t="s">
        <v>545</v>
      </c>
      <c r="D322" s="69">
        <v>0</v>
      </c>
      <c r="E322" s="69">
        <v>443929.67</v>
      </c>
      <c r="F322" s="69">
        <v>22316.04</v>
      </c>
      <c r="G322" s="69">
        <f t="shared" si="8"/>
        <v>421613.63</v>
      </c>
      <c r="H322" s="69">
        <f t="shared" si="9"/>
        <v>421613.63</v>
      </c>
      <c r="I322" s="78" t="s">
        <v>661</v>
      </c>
    </row>
    <row r="323" spans="2:9" x14ac:dyDescent="0.3">
      <c r="B323" s="67" t="s">
        <v>546</v>
      </c>
      <c r="C323" s="67" t="s">
        <v>547</v>
      </c>
      <c r="D323" s="69">
        <v>0</v>
      </c>
      <c r="E323" s="69">
        <v>268691.71999999997</v>
      </c>
      <c r="F323" s="69">
        <v>0</v>
      </c>
      <c r="G323" s="69">
        <f t="shared" si="8"/>
        <v>268691.71999999997</v>
      </c>
      <c r="H323" s="69">
        <f t="shared" si="9"/>
        <v>268691.71999999997</v>
      </c>
      <c r="I323" s="78" t="s">
        <v>661</v>
      </c>
    </row>
    <row r="324" spans="2:9" x14ac:dyDescent="0.3">
      <c r="B324" s="67" t="s">
        <v>548</v>
      </c>
      <c r="C324" s="67" t="s">
        <v>549</v>
      </c>
      <c r="D324" s="69">
        <v>0</v>
      </c>
      <c r="E324" s="69">
        <v>1859.18</v>
      </c>
      <c r="F324" s="69">
        <v>0</v>
      </c>
      <c r="G324" s="69">
        <f t="shared" si="8"/>
        <v>1859.18</v>
      </c>
      <c r="H324" s="69">
        <f t="shared" si="9"/>
        <v>1859.18</v>
      </c>
      <c r="I324" s="78" t="s">
        <v>661</v>
      </c>
    </row>
    <row r="325" spans="2:9" x14ac:dyDescent="0.3">
      <c r="B325" s="67" t="s">
        <v>550</v>
      </c>
      <c r="C325" s="67" t="s">
        <v>551</v>
      </c>
      <c r="D325" s="69">
        <v>0</v>
      </c>
      <c r="E325" s="69">
        <v>612.5</v>
      </c>
      <c r="F325" s="69">
        <v>0</v>
      </c>
      <c r="G325" s="69">
        <f t="shared" si="8"/>
        <v>612.5</v>
      </c>
      <c r="H325" s="69">
        <f t="shared" si="9"/>
        <v>612.5</v>
      </c>
      <c r="I325" s="78" t="s">
        <v>661</v>
      </c>
    </row>
    <row r="326" spans="2:9" x14ac:dyDescent="0.3">
      <c r="B326" s="67" t="s">
        <v>552</v>
      </c>
      <c r="C326" s="67" t="s">
        <v>553</v>
      </c>
      <c r="D326" s="69">
        <v>0</v>
      </c>
      <c r="E326" s="69">
        <v>3930</v>
      </c>
      <c r="F326" s="69">
        <v>0</v>
      </c>
      <c r="G326" s="69">
        <f t="shared" si="8"/>
        <v>3930</v>
      </c>
      <c r="H326" s="69">
        <f t="shared" si="9"/>
        <v>3930</v>
      </c>
      <c r="I326" s="78" t="s">
        <v>661</v>
      </c>
    </row>
    <row r="327" spans="2:9" x14ac:dyDescent="0.3">
      <c r="B327" s="67" t="s">
        <v>554</v>
      </c>
      <c r="C327" s="67" t="s">
        <v>555</v>
      </c>
      <c r="D327" s="69">
        <v>0</v>
      </c>
      <c r="E327" s="69">
        <v>21173</v>
      </c>
      <c r="F327" s="69">
        <v>0</v>
      </c>
      <c r="G327" s="69">
        <f t="shared" si="8"/>
        <v>21173</v>
      </c>
      <c r="H327" s="69">
        <f t="shared" si="9"/>
        <v>21173</v>
      </c>
      <c r="I327" s="78" t="s">
        <v>661</v>
      </c>
    </row>
    <row r="328" spans="2:9" x14ac:dyDescent="0.3">
      <c r="B328" s="67" t="s">
        <v>556</v>
      </c>
      <c r="C328" s="67" t="s">
        <v>557</v>
      </c>
      <c r="D328" s="69">
        <v>0</v>
      </c>
      <c r="E328" s="69">
        <v>1200</v>
      </c>
      <c r="F328" s="69">
        <v>0</v>
      </c>
      <c r="G328" s="69">
        <f t="shared" ref="G328:G359" si="10">E328-F328</f>
        <v>1200</v>
      </c>
      <c r="H328" s="69">
        <f t="shared" ref="H328:H359" si="11">D328+G328</f>
        <v>1200</v>
      </c>
      <c r="I328" s="78" t="s">
        <v>661</v>
      </c>
    </row>
    <row r="329" spans="2:9" x14ac:dyDescent="0.3">
      <c r="B329" s="67" t="s">
        <v>558</v>
      </c>
      <c r="C329" s="67" t="s">
        <v>559</v>
      </c>
      <c r="D329" s="69">
        <v>0</v>
      </c>
      <c r="E329" s="69">
        <v>375</v>
      </c>
      <c r="F329" s="69">
        <v>0</v>
      </c>
      <c r="G329" s="69">
        <f t="shared" si="10"/>
        <v>375</v>
      </c>
      <c r="H329" s="69">
        <f t="shared" si="11"/>
        <v>375</v>
      </c>
      <c r="I329" s="78" t="s">
        <v>661</v>
      </c>
    </row>
    <row r="330" spans="2:9" x14ac:dyDescent="0.3">
      <c r="B330" s="67" t="s">
        <v>560</v>
      </c>
      <c r="C330" s="67" t="s">
        <v>561</v>
      </c>
      <c r="D330" s="69">
        <v>0</v>
      </c>
      <c r="E330" s="69">
        <v>22</v>
      </c>
      <c r="F330" s="69">
        <v>0</v>
      </c>
      <c r="G330" s="69">
        <f t="shared" si="10"/>
        <v>22</v>
      </c>
      <c r="H330" s="69">
        <f t="shared" si="11"/>
        <v>22</v>
      </c>
      <c r="I330" s="78" t="s">
        <v>661</v>
      </c>
    </row>
    <row r="331" spans="2:9" x14ac:dyDescent="0.3">
      <c r="B331" s="67" t="s">
        <v>562</v>
      </c>
      <c r="C331" s="67" t="s">
        <v>563</v>
      </c>
      <c r="D331" s="69">
        <v>0</v>
      </c>
      <c r="E331" s="69">
        <v>6171.03</v>
      </c>
      <c r="F331" s="69">
        <v>0</v>
      </c>
      <c r="G331" s="69">
        <f t="shared" si="10"/>
        <v>6171.03</v>
      </c>
      <c r="H331" s="69">
        <f t="shared" si="11"/>
        <v>6171.03</v>
      </c>
      <c r="I331" s="78" t="s">
        <v>661</v>
      </c>
    </row>
    <row r="332" spans="2:9" x14ac:dyDescent="0.3">
      <c r="B332" s="75" t="s">
        <v>564</v>
      </c>
      <c r="C332" s="75" t="s">
        <v>565</v>
      </c>
      <c r="D332" s="76"/>
      <c r="E332" s="76"/>
      <c r="F332" s="76"/>
      <c r="G332" s="76">
        <f t="shared" si="10"/>
        <v>0</v>
      </c>
      <c r="H332" s="76">
        <f t="shared" si="11"/>
        <v>0</v>
      </c>
      <c r="I332" s="78" t="s">
        <v>661</v>
      </c>
    </row>
    <row r="333" spans="2:9" x14ac:dyDescent="0.3">
      <c r="B333" s="67" t="s">
        <v>566</v>
      </c>
      <c r="C333" s="67" t="s">
        <v>567</v>
      </c>
      <c r="D333" s="69">
        <v>0</v>
      </c>
      <c r="E333" s="69">
        <v>6.9</v>
      </c>
      <c r="F333" s="69">
        <v>0</v>
      </c>
      <c r="G333" s="69">
        <f t="shared" si="10"/>
        <v>6.9</v>
      </c>
      <c r="H333" s="69">
        <f t="shared" si="11"/>
        <v>6.9</v>
      </c>
      <c r="I333" s="78" t="s">
        <v>661</v>
      </c>
    </row>
    <row r="334" spans="2:9" x14ac:dyDescent="0.3">
      <c r="B334" s="67" t="s">
        <v>568</v>
      </c>
      <c r="C334" s="67" t="s">
        <v>569</v>
      </c>
      <c r="D334" s="69">
        <v>0</v>
      </c>
      <c r="E334" s="69">
        <v>7492.63</v>
      </c>
      <c r="F334" s="69">
        <v>0</v>
      </c>
      <c r="G334" s="69">
        <f t="shared" si="10"/>
        <v>7492.63</v>
      </c>
      <c r="H334" s="69">
        <f t="shared" si="11"/>
        <v>7492.63</v>
      </c>
      <c r="I334" s="78" t="s">
        <v>661</v>
      </c>
    </row>
    <row r="335" spans="2:9" x14ac:dyDescent="0.3">
      <c r="B335" s="67" t="s">
        <v>570</v>
      </c>
      <c r="C335" s="67" t="s">
        <v>571</v>
      </c>
      <c r="D335" s="69">
        <v>0</v>
      </c>
      <c r="E335" s="69">
        <v>7500</v>
      </c>
      <c r="F335" s="69">
        <v>0</v>
      </c>
      <c r="G335" s="69">
        <f t="shared" si="10"/>
        <v>7500</v>
      </c>
      <c r="H335" s="69">
        <f t="shared" si="11"/>
        <v>7500</v>
      </c>
      <c r="I335" s="78" t="s">
        <v>661</v>
      </c>
    </row>
    <row r="336" spans="2:9" x14ac:dyDescent="0.3">
      <c r="B336" s="67" t="s">
        <v>572</v>
      </c>
      <c r="C336" s="67" t="s">
        <v>573</v>
      </c>
      <c r="D336" s="69">
        <v>0</v>
      </c>
      <c r="E336" s="69">
        <v>1045</v>
      </c>
      <c r="F336" s="69">
        <v>0</v>
      </c>
      <c r="G336" s="69">
        <f t="shared" si="10"/>
        <v>1045</v>
      </c>
      <c r="H336" s="69">
        <f t="shared" si="11"/>
        <v>1045</v>
      </c>
      <c r="I336" s="78" t="s">
        <v>661</v>
      </c>
    </row>
    <row r="337" spans="1:9" x14ac:dyDescent="0.3">
      <c r="B337" s="67" t="s">
        <v>574</v>
      </c>
      <c r="C337" s="67" t="s">
        <v>575</v>
      </c>
      <c r="D337" s="69">
        <v>0</v>
      </c>
      <c r="E337" s="69">
        <v>6552.74</v>
      </c>
      <c r="F337" s="69">
        <v>0</v>
      </c>
      <c r="G337" s="69">
        <f t="shared" si="10"/>
        <v>6552.74</v>
      </c>
      <c r="H337" s="69">
        <f t="shared" si="11"/>
        <v>6552.74</v>
      </c>
      <c r="I337" s="78" t="s">
        <v>661</v>
      </c>
    </row>
    <row r="338" spans="1:9" x14ac:dyDescent="0.3">
      <c r="B338" s="67" t="s">
        <v>576</v>
      </c>
      <c r="C338" s="67" t="s">
        <v>577</v>
      </c>
      <c r="D338" s="69">
        <v>0</v>
      </c>
      <c r="E338" s="69">
        <v>29000</v>
      </c>
      <c r="F338" s="69">
        <v>0</v>
      </c>
      <c r="G338" s="69">
        <f t="shared" si="10"/>
        <v>29000</v>
      </c>
      <c r="H338" s="69">
        <f t="shared" si="11"/>
        <v>29000</v>
      </c>
      <c r="I338" s="78" t="s">
        <v>661</v>
      </c>
    </row>
    <row r="339" spans="1:9" x14ac:dyDescent="0.3">
      <c r="B339" s="67" t="s">
        <v>578</v>
      </c>
      <c r="C339" s="67" t="s">
        <v>579</v>
      </c>
      <c r="D339" s="69">
        <v>0</v>
      </c>
      <c r="E339" s="69">
        <v>5766.8</v>
      </c>
      <c r="F339" s="69">
        <v>0</v>
      </c>
      <c r="G339" s="69">
        <f t="shared" si="10"/>
        <v>5766.8</v>
      </c>
      <c r="H339" s="69">
        <f t="shared" si="11"/>
        <v>5766.8</v>
      </c>
      <c r="I339" s="78" t="s">
        <v>661</v>
      </c>
    </row>
    <row r="340" spans="1:9" x14ac:dyDescent="0.3">
      <c r="B340" s="67" t="s">
        <v>580</v>
      </c>
      <c r="C340" s="67" t="s">
        <v>581</v>
      </c>
      <c r="D340" s="69">
        <v>0</v>
      </c>
      <c r="E340" s="69">
        <v>13433.32</v>
      </c>
      <c r="F340" s="69">
        <v>2000</v>
      </c>
      <c r="G340" s="69">
        <f t="shared" si="10"/>
        <v>11433.32</v>
      </c>
      <c r="H340" s="69">
        <f t="shared" si="11"/>
        <v>11433.32</v>
      </c>
      <c r="I340" s="78" t="s">
        <v>661</v>
      </c>
    </row>
    <row r="341" spans="1:9" x14ac:dyDescent="0.3">
      <c r="B341" s="67" t="s">
        <v>582</v>
      </c>
      <c r="C341" s="67" t="s">
        <v>583</v>
      </c>
      <c r="D341" s="69">
        <v>0</v>
      </c>
      <c r="E341" s="69">
        <v>7219.8</v>
      </c>
      <c r="F341" s="69">
        <v>0</v>
      </c>
      <c r="G341" s="69">
        <f t="shared" si="10"/>
        <v>7219.8</v>
      </c>
      <c r="H341" s="69">
        <f t="shared" si="11"/>
        <v>7219.8</v>
      </c>
      <c r="I341" s="78" t="s">
        <v>661</v>
      </c>
    </row>
    <row r="342" spans="1:9" x14ac:dyDescent="0.3">
      <c r="B342" s="67" t="s">
        <v>584</v>
      </c>
      <c r="C342" s="67" t="s">
        <v>585</v>
      </c>
      <c r="D342" s="69">
        <v>0</v>
      </c>
      <c r="E342" s="69">
        <v>5984.89</v>
      </c>
      <c r="F342" s="69">
        <v>1233.3399999999999</v>
      </c>
      <c r="G342" s="69">
        <f t="shared" si="10"/>
        <v>4751.55</v>
      </c>
      <c r="H342" s="69">
        <f t="shared" si="11"/>
        <v>4751.55</v>
      </c>
      <c r="I342" s="78" t="s">
        <v>661</v>
      </c>
    </row>
    <row r="343" spans="1:9" x14ac:dyDescent="0.3">
      <c r="B343" s="75" t="s">
        <v>586</v>
      </c>
      <c r="C343" s="75" t="s">
        <v>587</v>
      </c>
      <c r="D343" s="76"/>
      <c r="E343" s="76"/>
      <c r="F343" s="76"/>
      <c r="G343" s="76">
        <f t="shared" si="10"/>
        <v>0</v>
      </c>
      <c r="H343" s="76">
        <f t="shared" si="11"/>
        <v>0</v>
      </c>
      <c r="I343" s="78" t="s">
        <v>661</v>
      </c>
    </row>
    <row r="344" spans="1:9" x14ac:dyDescent="0.3">
      <c r="B344" s="67" t="s">
        <v>588</v>
      </c>
      <c r="C344" s="67" t="s">
        <v>589</v>
      </c>
      <c r="D344" s="69">
        <v>0</v>
      </c>
      <c r="E344" s="69">
        <v>454362.6</v>
      </c>
      <c r="F344" s="69">
        <v>179008</v>
      </c>
      <c r="G344" s="69">
        <f t="shared" si="10"/>
        <v>275354.59999999998</v>
      </c>
      <c r="H344" s="69">
        <f t="shared" si="11"/>
        <v>275354.59999999998</v>
      </c>
      <c r="I344" s="78" t="s">
        <v>661</v>
      </c>
    </row>
    <row r="345" spans="1:9" x14ac:dyDescent="0.3">
      <c r="B345" s="67" t="s">
        <v>590</v>
      </c>
      <c r="C345" s="67" t="s">
        <v>591</v>
      </c>
      <c r="D345" s="69">
        <v>0</v>
      </c>
      <c r="E345" s="69">
        <v>1249.17</v>
      </c>
      <c r="F345" s="69">
        <v>0</v>
      </c>
      <c r="G345" s="69">
        <f t="shared" si="10"/>
        <v>1249.17</v>
      </c>
      <c r="H345" s="69">
        <f t="shared" si="11"/>
        <v>1249.17</v>
      </c>
      <c r="I345" s="78" t="s">
        <v>661</v>
      </c>
    </row>
    <row r="346" spans="1:9" x14ac:dyDescent="0.3">
      <c r="B346" s="67" t="s">
        <v>592</v>
      </c>
      <c r="C346" s="67" t="s">
        <v>593</v>
      </c>
      <c r="D346" s="69">
        <v>0</v>
      </c>
      <c r="E346" s="69">
        <v>398.7</v>
      </c>
      <c r="F346" s="69">
        <v>0</v>
      </c>
      <c r="G346" s="69">
        <f t="shared" si="10"/>
        <v>398.7</v>
      </c>
      <c r="H346" s="69">
        <f t="shared" si="11"/>
        <v>398.7</v>
      </c>
      <c r="I346" s="78" t="s">
        <v>661</v>
      </c>
    </row>
    <row r="347" spans="1:9" x14ac:dyDescent="0.3">
      <c r="B347" s="67" t="s">
        <v>594</v>
      </c>
      <c r="C347" s="67" t="s">
        <v>595</v>
      </c>
      <c r="D347" s="69">
        <v>0</v>
      </c>
      <c r="E347" s="69">
        <v>34953.06</v>
      </c>
      <c r="F347" s="69">
        <v>9000</v>
      </c>
      <c r="G347" s="69">
        <f t="shared" si="10"/>
        <v>25953.059999999998</v>
      </c>
      <c r="H347" s="69">
        <f t="shared" si="11"/>
        <v>25953.059999999998</v>
      </c>
      <c r="I347" s="78" t="s">
        <v>661</v>
      </c>
    </row>
    <row r="348" spans="1:9" x14ac:dyDescent="0.3">
      <c r="B348" s="67" t="s">
        <v>596</v>
      </c>
      <c r="C348" s="67" t="s">
        <v>597</v>
      </c>
      <c r="D348" s="69">
        <v>0</v>
      </c>
      <c r="E348" s="69">
        <v>8346.15</v>
      </c>
      <c r="F348" s="69">
        <v>0</v>
      </c>
      <c r="G348" s="69">
        <f t="shared" si="10"/>
        <v>8346.15</v>
      </c>
      <c r="H348" s="69">
        <f t="shared" si="11"/>
        <v>8346.15</v>
      </c>
      <c r="I348" s="78" t="s">
        <v>661</v>
      </c>
    </row>
    <row r="349" spans="1:9" x14ac:dyDescent="0.3">
      <c r="B349" s="75" t="s">
        <v>598</v>
      </c>
      <c r="C349" s="75" t="s">
        <v>599</v>
      </c>
      <c r="D349" s="76"/>
      <c r="E349" s="76"/>
      <c r="F349" s="76"/>
      <c r="G349" s="76">
        <f t="shared" si="10"/>
        <v>0</v>
      </c>
      <c r="H349" s="76">
        <f t="shared" si="11"/>
        <v>0</v>
      </c>
      <c r="I349" s="78" t="s">
        <v>661</v>
      </c>
    </row>
    <row r="350" spans="1:9" x14ac:dyDescent="0.3">
      <c r="B350" s="67" t="s">
        <v>600</v>
      </c>
      <c r="C350" s="67" t="s">
        <v>601</v>
      </c>
      <c r="D350" s="69">
        <v>0</v>
      </c>
      <c r="E350" s="69">
        <v>390</v>
      </c>
      <c r="F350" s="69">
        <v>0</v>
      </c>
      <c r="G350" s="69">
        <f t="shared" si="10"/>
        <v>390</v>
      </c>
      <c r="H350" s="69">
        <f t="shared" si="11"/>
        <v>390</v>
      </c>
      <c r="I350" s="78" t="s">
        <v>661</v>
      </c>
    </row>
    <row r="351" spans="1:9" x14ac:dyDescent="0.3">
      <c r="A351" s="65"/>
      <c r="B351" s="75" t="s">
        <v>602</v>
      </c>
      <c r="C351" s="75" t="s">
        <v>603</v>
      </c>
      <c r="D351" s="76"/>
      <c r="E351" s="76"/>
      <c r="F351" s="76"/>
      <c r="G351" s="76">
        <f t="shared" si="10"/>
        <v>0</v>
      </c>
      <c r="H351" s="76">
        <f t="shared" si="11"/>
        <v>0</v>
      </c>
      <c r="I351" s="78" t="s">
        <v>661</v>
      </c>
    </row>
    <row r="352" spans="1:9" x14ac:dyDescent="0.3">
      <c r="A352" s="65"/>
      <c r="B352" s="67" t="s">
        <v>604</v>
      </c>
      <c r="C352" s="67" t="s">
        <v>605</v>
      </c>
      <c r="D352" s="69">
        <v>0</v>
      </c>
      <c r="E352" s="69">
        <v>10313</v>
      </c>
      <c r="F352" s="69">
        <v>0</v>
      </c>
      <c r="G352" s="69">
        <f t="shared" si="10"/>
        <v>10313</v>
      </c>
      <c r="H352" s="69">
        <f t="shared" si="11"/>
        <v>10313</v>
      </c>
      <c r="I352" s="78" t="s">
        <v>661</v>
      </c>
    </row>
    <row r="353" spans="1:9" x14ac:dyDescent="0.3">
      <c r="A353" s="65"/>
      <c r="B353" s="75" t="s">
        <v>606</v>
      </c>
      <c r="C353" s="75" t="s">
        <v>607</v>
      </c>
      <c r="D353" s="76"/>
      <c r="E353" s="76"/>
      <c r="F353" s="76"/>
      <c r="G353" s="76">
        <f t="shared" si="10"/>
        <v>0</v>
      </c>
      <c r="H353" s="76">
        <f t="shared" si="11"/>
        <v>0</v>
      </c>
      <c r="I353" s="78" t="s">
        <v>661</v>
      </c>
    </row>
    <row r="354" spans="1:9" x14ac:dyDescent="0.3">
      <c r="A354" s="65"/>
      <c r="B354" s="67" t="s">
        <v>608</v>
      </c>
      <c r="C354" s="67" t="s">
        <v>609</v>
      </c>
      <c r="D354" s="69">
        <v>0</v>
      </c>
      <c r="E354" s="69">
        <v>380</v>
      </c>
      <c r="F354" s="69">
        <v>0</v>
      </c>
      <c r="G354" s="69">
        <f t="shared" si="10"/>
        <v>380</v>
      </c>
      <c r="H354" s="69">
        <f t="shared" si="11"/>
        <v>380</v>
      </c>
      <c r="I354" s="78" t="s">
        <v>661</v>
      </c>
    </row>
    <row r="355" spans="1:9" x14ac:dyDescent="0.3">
      <c r="A355" s="65"/>
      <c r="B355" s="75" t="s">
        <v>610</v>
      </c>
      <c r="C355" s="75" t="s">
        <v>611</v>
      </c>
      <c r="D355" s="76"/>
      <c r="E355" s="76"/>
      <c r="F355" s="76"/>
      <c r="G355" s="76">
        <f t="shared" si="10"/>
        <v>0</v>
      </c>
      <c r="H355" s="76">
        <f t="shared" si="11"/>
        <v>0</v>
      </c>
      <c r="I355" s="78" t="s">
        <v>661</v>
      </c>
    </row>
    <row r="356" spans="1:9" x14ac:dyDescent="0.3">
      <c r="A356" s="65"/>
      <c r="B356" s="67" t="s">
        <v>612</v>
      </c>
      <c r="C356" s="67" t="s">
        <v>613</v>
      </c>
      <c r="D356" s="69">
        <v>0</v>
      </c>
      <c r="E356" s="69">
        <v>13.44</v>
      </c>
      <c r="F356" s="69">
        <v>6.08</v>
      </c>
      <c r="G356" s="69">
        <f t="shared" si="10"/>
        <v>7.3599999999999994</v>
      </c>
      <c r="H356" s="69">
        <f t="shared" si="11"/>
        <v>7.3599999999999994</v>
      </c>
      <c r="I356" s="78" t="s">
        <v>661</v>
      </c>
    </row>
    <row r="357" spans="1:9" x14ac:dyDescent="0.3">
      <c r="A357" s="65"/>
      <c r="B357" s="67" t="s">
        <v>614</v>
      </c>
      <c r="C357" s="67" t="s">
        <v>615</v>
      </c>
      <c r="D357" s="69">
        <v>0</v>
      </c>
      <c r="E357" s="69">
        <v>406.69</v>
      </c>
      <c r="F357" s="69">
        <v>0</v>
      </c>
      <c r="G357" s="69">
        <f t="shared" si="10"/>
        <v>406.69</v>
      </c>
      <c r="H357" s="69">
        <f t="shared" si="11"/>
        <v>406.69</v>
      </c>
      <c r="I357" s="78" t="s">
        <v>661</v>
      </c>
    </row>
    <row r="358" spans="1:9" x14ac:dyDescent="0.3">
      <c r="A358" s="65"/>
      <c r="B358" s="75" t="s">
        <v>616</v>
      </c>
      <c r="C358" s="75" t="s">
        <v>617</v>
      </c>
      <c r="D358" s="76"/>
      <c r="E358" s="76"/>
      <c r="F358" s="76"/>
      <c r="G358" s="76">
        <f t="shared" si="10"/>
        <v>0</v>
      </c>
      <c r="H358" s="76">
        <f t="shared" si="11"/>
        <v>0</v>
      </c>
      <c r="I358" s="78" t="s">
        <v>661</v>
      </c>
    </row>
    <row r="359" spans="1:9" x14ac:dyDescent="0.3">
      <c r="A359" s="65"/>
      <c r="B359" s="67" t="s">
        <v>618</v>
      </c>
      <c r="C359" s="67" t="s">
        <v>619</v>
      </c>
      <c r="D359" s="69">
        <v>0</v>
      </c>
      <c r="E359" s="69">
        <v>1069.77</v>
      </c>
      <c r="F359" s="69">
        <v>0</v>
      </c>
      <c r="G359" s="69">
        <f t="shared" si="10"/>
        <v>1069.77</v>
      </c>
      <c r="H359" s="69">
        <f t="shared" si="11"/>
        <v>1069.77</v>
      </c>
      <c r="I359" s="78" t="s">
        <v>661</v>
      </c>
    </row>
    <row r="360" spans="1:9" x14ac:dyDescent="0.3">
      <c r="A360" s="65"/>
      <c r="B360" s="64" t="s">
        <v>620</v>
      </c>
      <c r="C360" s="64" t="s">
        <v>621</v>
      </c>
      <c r="D360" s="73">
        <f>SUM(D3:D359)</f>
        <v>-5.0931703299283981E-11</v>
      </c>
      <c r="E360" s="73">
        <f t="shared" ref="E360:H360" si="12">SUM(E3:E359)</f>
        <v>139977680.23999998</v>
      </c>
      <c r="F360" s="73">
        <f t="shared" si="12"/>
        <v>139977680.22000009</v>
      </c>
      <c r="G360" s="73">
        <f t="shared" si="12"/>
        <v>2.0000003655013643E-2</v>
      </c>
      <c r="H360" s="73">
        <f t="shared" si="12"/>
        <v>2.0000002723691068E-2</v>
      </c>
      <c r="I360" s="74"/>
    </row>
    <row r="361" spans="1:9" x14ac:dyDescent="0.3">
      <c r="A361" s="65"/>
      <c r="B361" s="67"/>
      <c r="C361" s="67"/>
      <c r="D361" s="69"/>
      <c r="E361" s="69"/>
      <c r="F361" s="69"/>
      <c r="G361" s="69"/>
      <c r="H361" s="69"/>
    </row>
    <row r="362" spans="1:9" ht="15" thickBot="1" x14ac:dyDescent="0.35">
      <c r="A362" s="66"/>
      <c r="B362" s="71"/>
      <c r="C362" s="71"/>
      <c r="D362" s="72"/>
      <c r="E362" s="72"/>
      <c r="F362" s="72"/>
      <c r="G362" s="72"/>
      <c r="H362" s="72"/>
    </row>
    <row r="363" spans="1:9" x14ac:dyDescent="0.3">
      <c r="A363" s="65"/>
      <c r="B363" s="67"/>
      <c r="C363" s="67"/>
      <c r="D363" s="69"/>
      <c r="E363" s="69"/>
      <c r="F363" s="69"/>
      <c r="G363" s="69"/>
      <c r="H363" s="69"/>
    </row>
  </sheetData>
  <autoFilter ref="B5:H360" xr:uid="{2B43761A-3293-4E86-BF1F-9FCC5E520643}"/>
  <mergeCells count="3">
    <mergeCell ref="B1:H1"/>
    <mergeCell ref="B2:H2"/>
    <mergeCell ref="B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44AF-3492-4BB3-B147-70B95331777F}">
  <dimension ref="A1:Z54"/>
  <sheetViews>
    <sheetView topLeftCell="A37" workbookViewId="0">
      <selection activeCell="B18" sqref="B18"/>
    </sheetView>
  </sheetViews>
  <sheetFormatPr defaultColWidth="9.109375" defaultRowHeight="13.2" x14ac:dyDescent="0.3"/>
  <cols>
    <col min="1" max="1" width="1.5546875" style="4" customWidth="1"/>
    <col min="2" max="2" width="30.109375" style="6" customWidth="1"/>
    <col min="3" max="3" width="11.33203125" style="6" customWidth="1"/>
    <col min="4" max="4" width="13.109375" style="6" customWidth="1"/>
    <col min="5" max="5" width="13.5546875" style="6" customWidth="1"/>
    <col min="6" max="6" width="2.33203125" style="7" customWidth="1"/>
    <col min="7" max="7" width="10.88671875" style="7" customWidth="1"/>
    <col min="8" max="8" width="40.44140625" style="6" customWidth="1"/>
    <col min="9" max="9" width="12.77734375" style="6" customWidth="1"/>
    <col min="10" max="10" width="13.44140625" style="6" customWidth="1"/>
    <col min="11" max="11" width="15.6640625" style="6" customWidth="1"/>
    <col min="12" max="12" width="12.5546875" style="8" bestFit="1" customWidth="1"/>
    <col min="13" max="13" width="13.5546875" style="8" bestFit="1" customWidth="1"/>
    <col min="14" max="14" width="11.109375" style="8" bestFit="1" customWidth="1"/>
    <col min="15" max="15" width="9.5546875" style="8" customWidth="1"/>
    <col min="16" max="16" width="12" style="8" bestFit="1" customWidth="1"/>
    <col min="17" max="17" width="5.5546875" style="8" customWidth="1"/>
    <col min="18" max="18" width="9.109375" style="8"/>
    <col min="19" max="20" width="10.5546875" style="8" bestFit="1" customWidth="1"/>
    <col min="21" max="21" width="9.109375" style="8"/>
    <col min="22" max="26" width="9.109375" style="8" hidden="1" customWidth="1"/>
    <col min="27" max="16384" width="9.109375" style="8"/>
  </cols>
  <sheetData>
    <row r="1" spans="1:15" x14ac:dyDescent="0.3">
      <c r="B1" s="5" t="str">
        <f>'[1]PL-Mgmt'!B1</f>
        <v>Greencity International</v>
      </c>
    </row>
    <row r="2" spans="1:15" x14ac:dyDescent="0.3">
      <c r="B2" s="9" t="s">
        <v>622</v>
      </c>
      <c r="C2" s="10"/>
      <c r="D2" s="8"/>
      <c r="E2" s="8"/>
      <c r="F2" s="11"/>
      <c r="G2" s="11"/>
      <c r="H2" s="9" t="s">
        <v>623</v>
      </c>
      <c r="I2" s="8"/>
      <c r="J2" s="8"/>
      <c r="K2" s="8"/>
    </row>
    <row r="3" spans="1:15" x14ac:dyDescent="0.3">
      <c r="B3" s="12"/>
      <c r="C3" s="12"/>
      <c r="D3" s="13" t="s">
        <v>624</v>
      </c>
      <c r="E3" s="13" t="s">
        <v>624</v>
      </c>
      <c r="F3" s="11"/>
      <c r="G3" s="11"/>
      <c r="H3" s="12"/>
      <c r="I3" s="12"/>
      <c r="J3" s="13" t="s">
        <v>624</v>
      </c>
      <c r="K3" s="13" t="s">
        <v>624</v>
      </c>
    </row>
    <row r="4" spans="1:15" x14ac:dyDescent="0.3">
      <c r="B4" s="5" t="s">
        <v>625</v>
      </c>
      <c r="C4" s="12"/>
      <c r="D4" s="14">
        <v>45808</v>
      </c>
      <c r="E4" s="15">
        <v>46022</v>
      </c>
      <c r="F4" s="11"/>
      <c r="G4" s="11"/>
      <c r="H4" s="5" t="s">
        <v>625</v>
      </c>
      <c r="I4" s="12"/>
      <c r="J4" s="14">
        <f>D4</f>
        <v>45808</v>
      </c>
      <c r="K4" s="15">
        <f>E4</f>
        <v>46022</v>
      </c>
    </row>
    <row r="5" spans="1:15" x14ac:dyDescent="0.3">
      <c r="B5" s="8"/>
      <c r="C5" s="8"/>
      <c r="D5" s="16"/>
      <c r="E5" s="17"/>
      <c r="F5" s="18"/>
      <c r="G5" s="11"/>
      <c r="H5" s="19" t="s">
        <v>626</v>
      </c>
      <c r="I5" s="8"/>
      <c r="J5" s="20"/>
      <c r="K5" s="20"/>
    </row>
    <row r="6" spans="1:15" x14ac:dyDescent="0.3">
      <c r="B6" s="77" t="s">
        <v>627</v>
      </c>
      <c r="C6" s="78"/>
      <c r="D6" s="79"/>
      <c r="E6" s="80"/>
      <c r="F6" s="18"/>
      <c r="G6" s="11"/>
      <c r="H6" s="6" t="s">
        <v>628</v>
      </c>
      <c r="J6" s="21">
        <f>D26+D27</f>
        <v>255542.41999999798</v>
      </c>
      <c r="K6" s="22"/>
      <c r="M6" s="23"/>
    </row>
    <row r="7" spans="1:15" x14ac:dyDescent="0.3">
      <c r="A7" s="7"/>
      <c r="B7" s="81" t="s">
        <v>629</v>
      </c>
      <c r="C7" s="81"/>
      <c r="D7" s="82">
        <f>SUMIF(trial!$I$7:$I$359,'bs and cf'!B7,trial!$H$7:$H$360)</f>
        <v>1099812.7399999998</v>
      </c>
      <c r="E7" s="83"/>
      <c r="F7" s="24"/>
      <c r="G7" s="25"/>
      <c r="H7" s="8"/>
      <c r="I7" s="8"/>
      <c r="J7" s="21"/>
      <c r="K7" s="22"/>
      <c r="M7" s="23"/>
    </row>
    <row r="8" spans="1:15" x14ac:dyDescent="0.3">
      <c r="A8" s="7"/>
      <c r="B8" s="81" t="s">
        <v>630</v>
      </c>
      <c r="C8" s="81"/>
      <c r="D8" s="82">
        <f>SUMIF(trial!$I$7:$I$359,'bs and cf'!B8,trial!$H$7:$H$360)</f>
        <v>0</v>
      </c>
      <c r="E8" s="83">
        <v>0</v>
      </c>
      <c r="F8" s="24"/>
      <c r="G8" s="25"/>
      <c r="H8" s="19" t="s">
        <v>631</v>
      </c>
      <c r="I8" s="8"/>
      <c r="J8" s="21"/>
      <c r="K8" s="22"/>
      <c r="M8" s="23"/>
    </row>
    <row r="9" spans="1:15" x14ac:dyDescent="0.3">
      <c r="A9" s="7"/>
      <c r="B9" s="81" t="s">
        <v>632</v>
      </c>
      <c r="C9" s="81"/>
      <c r="D9" s="82">
        <f>SUMIF(trial!$I$7:$I$359,'bs and cf'!B9,trial!$H$7:$H$360)</f>
        <v>0</v>
      </c>
      <c r="E9" s="83">
        <v>0</v>
      </c>
      <c r="F9" s="24"/>
      <c r="G9" s="25"/>
      <c r="H9" s="8" t="s">
        <v>633</v>
      </c>
      <c r="I9" s="8"/>
      <c r="J9" s="21">
        <v>0</v>
      </c>
      <c r="K9" s="22"/>
      <c r="M9" s="23"/>
    </row>
    <row r="10" spans="1:15" x14ac:dyDescent="0.3">
      <c r="A10" s="7"/>
      <c r="B10" s="81" t="s">
        <v>634</v>
      </c>
      <c r="C10" s="81"/>
      <c r="D10" s="82">
        <f>SUMIF(trial!$I$7:$I$359,'bs and cf'!B10,trial!$H$7:$H$360)</f>
        <v>0</v>
      </c>
      <c r="E10" s="83"/>
      <c r="F10" s="24"/>
      <c r="G10" s="25"/>
      <c r="H10" s="8" t="s">
        <v>635</v>
      </c>
      <c r="I10" s="8"/>
      <c r="J10" s="21">
        <v>0</v>
      </c>
      <c r="K10" s="22"/>
      <c r="M10" s="23"/>
    </row>
    <row r="11" spans="1:15" x14ac:dyDescent="0.3">
      <c r="A11" s="7"/>
      <c r="B11" s="26" t="s">
        <v>636</v>
      </c>
      <c r="C11" s="26"/>
      <c r="D11" s="27">
        <f>SUM(D7:D10)</f>
        <v>1099812.7399999998</v>
      </c>
      <c r="E11" s="27">
        <f>SUM(E7:E10)</f>
        <v>0</v>
      </c>
      <c r="F11" s="24"/>
      <c r="G11" s="25"/>
      <c r="H11" s="8" t="s">
        <v>637</v>
      </c>
      <c r="I11" s="8"/>
      <c r="J11" s="21">
        <v>0</v>
      </c>
      <c r="K11" s="22"/>
      <c r="M11" s="23"/>
    </row>
    <row r="12" spans="1:15" x14ac:dyDescent="0.3">
      <c r="A12" s="7"/>
      <c r="B12" s="81"/>
      <c r="C12" s="81"/>
      <c r="D12" s="82"/>
      <c r="E12" s="83"/>
      <c r="F12" s="24"/>
      <c r="G12" s="25"/>
      <c r="H12" s="8" t="s">
        <v>638</v>
      </c>
      <c r="I12" s="8"/>
      <c r="J12" s="21">
        <v>0</v>
      </c>
      <c r="K12" s="22"/>
      <c r="M12" s="23"/>
    </row>
    <row r="13" spans="1:15" x14ac:dyDescent="0.3">
      <c r="A13" s="11"/>
      <c r="B13" s="77" t="s">
        <v>639</v>
      </c>
      <c r="C13" s="77"/>
      <c r="D13" s="84"/>
      <c r="E13" s="85"/>
      <c r="F13" s="24"/>
      <c r="G13" s="25"/>
      <c r="H13" s="8" t="s">
        <v>640</v>
      </c>
      <c r="I13" s="8"/>
      <c r="J13" s="21">
        <f>SUM(D33-E33)</f>
        <v>359740.9</v>
      </c>
      <c r="K13" s="22"/>
      <c r="M13" s="23"/>
    </row>
    <row r="14" spans="1:15" x14ac:dyDescent="0.3">
      <c r="A14" s="11"/>
      <c r="B14" s="78" t="s">
        <v>641</v>
      </c>
      <c r="C14" s="78"/>
      <c r="D14" s="82">
        <f>SUMIF(trial!$I$7:$I$359,'bs and cf'!B14,trial!$H$7:$H$360)</f>
        <v>992885.3899999992</v>
      </c>
      <c r="E14" s="82"/>
      <c r="F14" s="24"/>
      <c r="G14" s="28"/>
      <c r="H14" s="19"/>
      <c r="I14" s="8"/>
      <c r="J14" s="21"/>
      <c r="K14" s="22"/>
      <c r="M14" s="23"/>
    </row>
    <row r="15" spans="1:15" x14ac:dyDescent="0.3">
      <c r="A15" s="11"/>
      <c r="B15" s="78" t="s">
        <v>642</v>
      </c>
      <c r="C15" s="78"/>
      <c r="D15" s="82">
        <f>SUMIF(trial!$I$7:$I$359,'bs and cf'!B15,trial!$H$7:$H$360)</f>
        <v>1024656.5200000008</v>
      </c>
      <c r="E15" s="82"/>
      <c r="F15" s="24"/>
      <c r="G15" s="28"/>
      <c r="H15" s="19" t="s">
        <v>643</v>
      </c>
      <c r="I15" s="8"/>
      <c r="J15" s="21"/>
      <c r="K15" s="22"/>
      <c r="M15" s="23"/>
      <c r="O15" s="23"/>
    </row>
    <row r="16" spans="1:15" x14ac:dyDescent="0.3">
      <c r="A16" s="29"/>
      <c r="B16" s="78" t="s">
        <v>644</v>
      </c>
      <c r="C16" s="78"/>
      <c r="D16" s="82">
        <f>SUMIF(trial!$I$7:$I$359,'bs and cf'!B16,trial!$H$7:$H$360)</f>
        <v>138336</v>
      </c>
      <c r="E16" s="83"/>
      <c r="F16" s="24"/>
      <c r="G16" s="25"/>
      <c r="H16" s="8" t="s">
        <v>641</v>
      </c>
      <c r="I16" s="8"/>
      <c r="J16" s="21">
        <f>E14-D14</f>
        <v>-992885.3899999992</v>
      </c>
      <c r="K16" s="22"/>
      <c r="M16" s="23"/>
      <c r="O16" s="23"/>
    </row>
    <row r="17" spans="1:15" x14ac:dyDescent="0.3">
      <c r="A17" s="11"/>
      <c r="B17" s="78" t="s">
        <v>645</v>
      </c>
      <c r="C17" s="78"/>
      <c r="D17" s="82">
        <f>SUMIF(trial!$I$7:$I$359,'bs and cf'!B17,trial!$H$7:$H$360)</f>
        <v>986606.75000000035</v>
      </c>
      <c r="E17" s="83"/>
      <c r="F17" s="24"/>
      <c r="G17" s="28"/>
      <c r="H17" s="8" t="s">
        <v>646</v>
      </c>
      <c r="I17" s="8"/>
      <c r="J17" s="21">
        <f>E15-D15</f>
        <v>-1024656.5200000008</v>
      </c>
      <c r="K17" s="22"/>
      <c r="M17" s="23"/>
      <c r="O17" s="23"/>
    </row>
    <row r="18" spans="1:15" x14ac:dyDescent="0.3">
      <c r="A18" s="30"/>
      <c r="B18" s="78" t="s">
        <v>647</v>
      </c>
      <c r="C18" s="78"/>
      <c r="D18" s="82">
        <f>SUMIF(trial!$I$7:$I$359,'bs and cf'!B18,trial!$H$7:$H$360)</f>
        <v>668205.81999999995</v>
      </c>
      <c r="E18" s="83"/>
      <c r="F18" s="24"/>
      <c r="G18" s="25"/>
      <c r="H18" s="8" t="s">
        <v>644</v>
      </c>
      <c r="I18" s="8"/>
      <c r="J18" s="21">
        <f>E16-D16</f>
        <v>-138336</v>
      </c>
      <c r="K18" s="22"/>
      <c r="M18" s="23"/>
      <c r="O18" s="23"/>
    </row>
    <row r="19" spans="1:15" x14ac:dyDescent="0.3">
      <c r="A19" s="30"/>
      <c r="B19" s="78" t="s">
        <v>648</v>
      </c>
      <c r="C19" s="78"/>
      <c r="D19" s="82">
        <f>SUMIF(trial!$I$7:$I$359,'bs and cf'!B19,trial!$H$7:$H$360)</f>
        <v>53747.590000000782</v>
      </c>
      <c r="E19" s="83"/>
      <c r="F19" s="24"/>
      <c r="G19" s="28"/>
      <c r="H19" s="8" t="s">
        <v>649</v>
      </c>
      <c r="I19" s="8"/>
      <c r="J19" s="21">
        <f>E17-D17</f>
        <v>-986606.75000000035</v>
      </c>
      <c r="K19" s="22"/>
      <c r="M19" s="23"/>
      <c r="O19" s="23"/>
    </row>
    <row r="20" spans="1:15" x14ac:dyDescent="0.3">
      <c r="A20" s="11"/>
      <c r="B20" s="26" t="s">
        <v>650</v>
      </c>
      <c r="C20" s="26"/>
      <c r="D20" s="27">
        <f>SUM(D14:D19)</f>
        <v>3864438.0700000012</v>
      </c>
      <c r="E20" s="27">
        <f>SUM(E14:E19)</f>
        <v>0</v>
      </c>
      <c r="F20" s="24"/>
      <c r="G20" s="25"/>
      <c r="H20" s="8" t="s">
        <v>651</v>
      </c>
      <c r="I20" s="8"/>
      <c r="J20" s="21">
        <f>SUM(D41-E41)</f>
        <v>3545230.8199999984</v>
      </c>
      <c r="K20" s="22"/>
      <c r="M20" s="23"/>
      <c r="O20" s="23"/>
    </row>
    <row r="21" spans="1:15" ht="13.8" thickBot="1" x14ac:dyDescent="0.35">
      <c r="A21" s="11"/>
      <c r="B21" s="31" t="s">
        <v>652</v>
      </c>
      <c r="C21" s="31"/>
      <c r="D21" s="32">
        <f>D20+D11</f>
        <v>4964250.8100000005</v>
      </c>
      <c r="E21" s="32">
        <f>E20+E11</f>
        <v>0</v>
      </c>
      <c r="F21" s="24"/>
      <c r="G21" s="25"/>
      <c r="H21" s="33" t="s">
        <v>653</v>
      </c>
      <c r="I21" s="33"/>
      <c r="J21" s="34">
        <f>D42-E42</f>
        <v>668647.96000000008</v>
      </c>
      <c r="K21" s="34"/>
      <c r="M21" s="23"/>
      <c r="O21" s="23"/>
    </row>
    <row r="22" spans="1:15" ht="13.8" thickTop="1" x14ac:dyDescent="0.3">
      <c r="A22" s="11"/>
      <c r="B22" s="81"/>
      <c r="C22" s="81"/>
      <c r="D22" s="86"/>
      <c r="E22" s="87"/>
      <c r="F22" s="24"/>
      <c r="G22" s="25"/>
      <c r="H22" s="35" t="s">
        <v>654</v>
      </c>
      <c r="I22" s="35"/>
      <c r="J22" s="36">
        <f>SUM(J6:J21)</f>
        <v>1686677.4399999958</v>
      </c>
      <c r="K22" s="36">
        <f>SUM(K6:K21)</f>
        <v>0</v>
      </c>
      <c r="M22" s="23"/>
      <c r="O22" s="23"/>
    </row>
    <row r="23" spans="1:15" x14ac:dyDescent="0.3">
      <c r="A23" s="11"/>
      <c r="B23" s="77" t="s">
        <v>655</v>
      </c>
      <c r="C23" s="78"/>
      <c r="D23" s="82"/>
      <c r="E23" s="83"/>
      <c r="F23" s="24"/>
      <c r="G23" s="25"/>
      <c r="H23" s="6" t="s">
        <v>656</v>
      </c>
      <c r="J23" s="37">
        <v>0</v>
      </c>
      <c r="K23" s="38">
        <v>0</v>
      </c>
      <c r="M23" s="23"/>
      <c r="O23" s="23"/>
    </row>
    <row r="24" spans="1:15" x14ac:dyDescent="0.3">
      <c r="A24" s="11"/>
      <c r="B24" s="78" t="s">
        <v>657</v>
      </c>
      <c r="C24" s="78"/>
      <c r="D24" s="82">
        <f>-SUMIF(trial!$I$7:$I$359,'bs and cf'!B24,trial!$H$7:$H$360)</f>
        <v>135088.68999999994</v>
      </c>
      <c r="E24" s="83">
        <v>0</v>
      </c>
      <c r="F24" s="24"/>
      <c r="G24" s="25"/>
      <c r="H24" s="8" t="s">
        <v>658</v>
      </c>
      <c r="I24" s="8"/>
      <c r="J24" s="21">
        <v>0</v>
      </c>
      <c r="K24" s="38">
        <v>0</v>
      </c>
      <c r="M24" s="23"/>
      <c r="O24" s="23"/>
    </row>
    <row r="25" spans="1:15" x14ac:dyDescent="0.3">
      <c r="A25" s="11"/>
      <c r="B25" s="78" t="s">
        <v>659</v>
      </c>
      <c r="C25" s="78"/>
      <c r="D25" s="82">
        <f>-SUMIF(trial!$I$7:$I$359,'bs and cf'!B25,trial!$H$7:$H$360)</f>
        <v>0</v>
      </c>
      <c r="E25" s="83">
        <v>0</v>
      </c>
      <c r="F25" s="24"/>
      <c r="G25" s="25"/>
      <c r="H25" s="8" t="s">
        <v>660</v>
      </c>
      <c r="J25" s="21">
        <v>0</v>
      </c>
      <c r="K25" s="38">
        <v>0</v>
      </c>
      <c r="M25" s="23"/>
      <c r="O25" s="23"/>
    </row>
    <row r="26" spans="1:15" x14ac:dyDescent="0.3">
      <c r="A26" s="11"/>
      <c r="B26" s="78" t="s">
        <v>661</v>
      </c>
      <c r="C26" s="78"/>
      <c r="D26" s="82">
        <f>-SUMIF(trial!$I$7:$I$359,'bs and cf'!B26,trial!$H$7:$H$360)</f>
        <v>316920.93999999797</v>
      </c>
      <c r="E26" s="83">
        <v>0</v>
      </c>
      <c r="F26" s="24"/>
      <c r="G26" s="28"/>
      <c r="H26" s="39" t="s">
        <v>662</v>
      </c>
      <c r="I26" s="39"/>
      <c r="J26" s="40">
        <f>SUM(J22:J25)</f>
        <v>1686677.4399999958</v>
      </c>
      <c r="K26" s="40">
        <f>SUM(K22:K25)</f>
        <v>0</v>
      </c>
      <c r="M26" s="23"/>
      <c r="O26" s="23"/>
    </row>
    <row r="27" spans="1:15" x14ac:dyDescent="0.3">
      <c r="A27" s="11"/>
      <c r="B27" s="78" t="s">
        <v>663</v>
      </c>
      <c r="C27" s="78"/>
      <c r="D27" s="82">
        <f>-SUMIF(trial!$I$7:$I$359,'bs and cf'!B27,trial!$H$7:$H$360)</f>
        <v>-61378.52</v>
      </c>
      <c r="E27" s="83"/>
      <c r="F27" s="24"/>
      <c r="G27" s="25"/>
      <c r="H27" s="8"/>
      <c r="I27" s="8"/>
      <c r="J27" s="21"/>
      <c r="K27" s="41"/>
      <c r="M27" s="23"/>
      <c r="O27" s="23"/>
    </row>
    <row r="28" spans="1:15" x14ac:dyDescent="0.3">
      <c r="A28" s="11"/>
      <c r="B28" s="26" t="s">
        <v>664</v>
      </c>
      <c r="C28" s="26"/>
      <c r="D28" s="27">
        <f>SUM(D24:D27)</f>
        <v>390631.10999999789</v>
      </c>
      <c r="E28" s="27">
        <f>SUM(E24:E27)</f>
        <v>0</v>
      </c>
      <c r="F28" s="24"/>
      <c r="G28" s="25"/>
      <c r="H28" s="19" t="s">
        <v>665</v>
      </c>
      <c r="I28" s="8"/>
      <c r="J28" s="21"/>
      <c r="K28" s="41"/>
      <c r="M28" s="23"/>
      <c r="O28" s="23"/>
    </row>
    <row r="29" spans="1:15" x14ac:dyDescent="0.3">
      <c r="A29" s="11"/>
      <c r="B29" s="78"/>
      <c r="C29" s="78"/>
      <c r="D29" s="82"/>
      <c r="E29" s="83"/>
      <c r="F29" s="24"/>
      <c r="G29" s="25"/>
      <c r="H29" s="8" t="s">
        <v>666</v>
      </c>
      <c r="I29" s="8"/>
      <c r="J29" s="21">
        <f>E11-D11</f>
        <v>-1099812.7399999998</v>
      </c>
      <c r="K29" s="22"/>
      <c r="O29" s="23"/>
    </row>
    <row r="30" spans="1:15" x14ac:dyDescent="0.3">
      <c r="A30" s="11"/>
      <c r="B30" s="77" t="s">
        <v>667</v>
      </c>
      <c r="C30" s="78"/>
      <c r="D30" s="82"/>
      <c r="E30" s="83"/>
      <c r="F30" s="24"/>
      <c r="G30" s="25"/>
      <c r="H30" s="8" t="s">
        <v>657</v>
      </c>
      <c r="I30" s="8"/>
      <c r="J30" s="21">
        <f>SUM(D24-E24)</f>
        <v>135088.68999999994</v>
      </c>
      <c r="K30" s="22">
        <v>0</v>
      </c>
      <c r="O30" s="23"/>
    </row>
    <row r="31" spans="1:15" x14ac:dyDescent="0.3">
      <c r="A31" s="11"/>
      <c r="B31" s="78" t="s">
        <v>668</v>
      </c>
      <c r="C31" s="78"/>
      <c r="D31" s="82">
        <f>-SUMIF(trial!$I$7:$I$359,'bs and cf'!B31,trial!$H$7:$H$360)</f>
        <v>0</v>
      </c>
      <c r="E31" s="83">
        <v>0</v>
      </c>
      <c r="F31" s="24"/>
      <c r="G31" s="25"/>
      <c r="H31" s="8" t="s">
        <v>669</v>
      </c>
      <c r="I31" s="8"/>
      <c r="J31" s="21">
        <v>0</v>
      </c>
      <c r="K31" s="22">
        <v>0</v>
      </c>
      <c r="O31" s="23"/>
    </row>
    <row r="32" spans="1:15" x14ac:dyDescent="0.3">
      <c r="A32" s="11"/>
      <c r="B32" s="78" t="s">
        <v>670</v>
      </c>
      <c r="C32" s="78"/>
      <c r="D32" s="82">
        <f>-SUMIF(trial!$I$7:$I$359,'bs and cf'!B32,trial!$H$7:$H$360)</f>
        <v>0</v>
      </c>
      <c r="E32" s="83">
        <v>0</v>
      </c>
      <c r="F32" s="24"/>
      <c r="G32" s="25"/>
      <c r="H32" s="6" t="s">
        <v>671</v>
      </c>
      <c r="J32" s="21"/>
      <c r="K32" s="22">
        <v>0</v>
      </c>
      <c r="O32" s="23"/>
    </row>
    <row r="33" spans="1:15" x14ac:dyDescent="0.3">
      <c r="A33" s="11"/>
      <c r="B33" s="78" t="s">
        <v>672</v>
      </c>
      <c r="C33" s="78"/>
      <c r="D33" s="82">
        <f>-SUMIF(trial!$I$7:$I$359,'bs and cf'!B33,trial!$H$7:$H$360)</f>
        <v>359740.9</v>
      </c>
      <c r="E33" s="83"/>
      <c r="F33" s="24"/>
      <c r="G33" s="28"/>
      <c r="H33" s="8" t="s">
        <v>673</v>
      </c>
      <c r="I33" s="8"/>
      <c r="J33" s="21">
        <f>E18-D18</f>
        <v>-668205.81999999995</v>
      </c>
      <c r="K33" s="22"/>
      <c r="O33" s="23"/>
    </row>
    <row r="34" spans="1:15" x14ac:dyDescent="0.3">
      <c r="A34" s="11"/>
      <c r="B34" s="26" t="s">
        <v>674</v>
      </c>
      <c r="C34" s="26"/>
      <c r="D34" s="42">
        <f>SUM(D31:D33)</f>
        <v>359740.9</v>
      </c>
      <c r="E34" s="42">
        <f>SUM(E31:E33)</f>
        <v>0</v>
      </c>
      <c r="F34" s="24"/>
      <c r="G34" s="25"/>
      <c r="H34" s="39" t="s">
        <v>675</v>
      </c>
      <c r="I34" s="39"/>
      <c r="J34" s="40">
        <f>SUM(J29:J33)</f>
        <v>-1632929.8699999996</v>
      </c>
      <c r="K34" s="40">
        <f>SUM(K29:K33)</f>
        <v>0</v>
      </c>
      <c r="O34" s="23"/>
    </row>
    <row r="35" spans="1:15" x14ac:dyDescent="0.3">
      <c r="A35" s="11"/>
      <c r="B35" s="77"/>
      <c r="C35" s="77"/>
      <c r="D35" s="88"/>
      <c r="E35" s="89"/>
      <c r="F35" s="24"/>
      <c r="G35" s="25"/>
      <c r="H35" s="35"/>
      <c r="I35" s="35"/>
      <c r="J35" s="43"/>
      <c r="K35" s="43"/>
      <c r="O35" s="23"/>
    </row>
    <row r="36" spans="1:15" x14ac:dyDescent="0.3">
      <c r="A36" s="11"/>
      <c r="B36" s="77" t="s">
        <v>676</v>
      </c>
      <c r="C36" s="78"/>
      <c r="D36" s="79"/>
      <c r="E36" s="90"/>
      <c r="F36" s="24"/>
      <c r="G36" s="25"/>
      <c r="H36" s="19" t="s">
        <v>677</v>
      </c>
      <c r="I36" s="8"/>
      <c r="J36" s="44"/>
      <c r="K36" s="44"/>
      <c r="O36" s="23"/>
    </row>
    <row r="37" spans="1:15" x14ac:dyDescent="0.3">
      <c r="A37" s="11"/>
      <c r="B37" s="78" t="s">
        <v>678</v>
      </c>
      <c r="C37" s="78"/>
      <c r="D37" s="82">
        <f>-SUMIF(trial!$I$7:$I$359,'bs and cf'!B37,trial!$H$7:$H$360)</f>
        <v>0</v>
      </c>
      <c r="E37" s="83">
        <v>0</v>
      </c>
      <c r="F37" s="24"/>
      <c r="G37" s="25"/>
      <c r="H37" s="8" t="s">
        <v>679</v>
      </c>
      <c r="I37" s="8"/>
      <c r="J37" s="45">
        <f>D40-E40</f>
        <v>0</v>
      </c>
      <c r="K37" s="46"/>
      <c r="O37" s="23"/>
    </row>
    <row r="38" spans="1:15" x14ac:dyDescent="0.3">
      <c r="A38" s="11"/>
      <c r="B38" s="78" t="s">
        <v>680</v>
      </c>
      <c r="C38" s="78"/>
      <c r="D38" s="82">
        <f>-SUMIF(trial!$I$7:$I$359,'bs and cf'!B38,trial!$H$7:$H$360)</f>
        <v>0</v>
      </c>
      <c r="E38" s="83">
        <v>0</v>
      </c>
      <c r="F38" s="24"/>
      <c r="G38" s="25"/>
      <c r="H38" s="8" t="s">
        <v>681</v>
      </c>
      <c r="I38" s="8"/>
      <c r="J38" s="47">
        <v>0</v>
      </c>
      <c r="K38" s="46"/>
      <c r="O38" s="23"/>
    </row>
    <row r="39" spans="1:15" x14ac:dyDescent="0.3">
      <c r="A39" s="11"/>
      <c r="B39" s="78" t="s">
        <v>682</v>
      </c>
      <c r="C39" s="78"/>
      <c r="D39" s="82">
        <f>-SUMIF(trial!$I$7:$I$359,'bs and cf'!B39,trial!$H$7:$H$360)</f>
        <v>0</v>
      </c>
      <c r="E39" s="83">
        <v>0</v>
      </c>
      <c r="F39" s="24"/>
      <c r="G39" s="25"/>
      <c r="H39" s="8" t="s">
        <v>683</v>
      </c>
      <c r="I39" s="8"/>
      <c r="J39" s="47">
        <v>0</v>
      </c>
      <c r="K39" s="46">
        <v>0</v>
      </c>
      <c r="O39" s="23"/>
    </row>
    <row r="40" spans="1:15" x14ac:dyDescent="0.3">
      <c r="A40" s="11"/>
      <c r="B40" s="91" t="s">
        <v>684</v>
      </c>
      <c r="C40" s="78"/>
      <c r="D40" s="82">
        <f>-SUMIF(trial!$I$7:$I$359,'bs and cf'!B40,trial!$H$7:$H$360)</f>
        <v>0</v>
      </c>
      <c r="E40" s="83"/>
      <c r="F40" s="24"/>
      <c r="G40" s="25"/>
      <c r="H40" s="6" t="s">
        <v>685</v>
      </c>
      <c r="J40" s="47">
        <v>0</v>
      </c>
      <c r="K40" s="46">
        <v>0</v>
      </c>
      <c r="O40" s="23"/>
    </row>
    <row r="41" spans="1:15" x14ac:dyDescent="0.3">
      <c r="A41" s="11"/>
      <c r="B41" s="78" t="s">
        <v>686</v>
      </c>
      <c r="C41" s="78"/>
      <c r="D41" s="82">
        <f>-SUMIF(trial!$I$7:$I$359,'bs and cf'!B41,trial!$H$7:$H$360)</f>
        <v>3545230.8199999984</v>
      </c>
      <c r="E41" s="83"/>
      <c r="F41" s="24"/>
      <c r="G41" s="28"/>
      <c r="H41" s="6" t="s">
        <v>687</v>
      </c>
      <c r="J41" s="47">
        <v>0</v>
      </c>
      <c r="K41" s="46">
        <v>0</v>
      </c>
      <c r="O41" s="23"/>
    </row>
    <row r="42" spans="1:15" x14ac:dyDescent="0.3">
      <c r="A42" s="11"/>
      <c r="B42" s="78" t="s">
        <v>688</v>
      </c>
      <c r="C42" s="78"/>
      <c r="D42" s="82">
        <f>-SUMIF(trial!$I$7:$I$359,'bs and cf'!B42,trial!$H$7:$H$360)</f>
        <v>668647.96000000008</v>
      </c>
      <c r="E42" s="83"/>
      <c r="F42" s="24"/>
      <c r="G42" s="28"/>
      <c r="H42" s="39" t="s">
        <v>689</v>
      </c>
      <c r="I42" s="39"/>
      <c r="J42" s="48">
        <f>SUM(J37:J41)</f>
        <v>0</v>
      </c>
      <c r="K42" s="48">
        <f>SUM(K37:K41)</f>
        <v>0</v>
      </c>
      <c r="O42" s="23"/>
    </row>
    <row r="43" spans="1:15" x14ac:dyDescent="0.3">
      <c r="A43" s="11"/>
      <c r="B43" s="26" t="s">
        <v>690</v>
      </c>
      <c r="C43" s="26"/>
      <c r="D43" s="49">
        <f>SUM(D37:D42)</f>
        <v>4213878.7799999984</v>
      </c>
      <c r="E43" s="49">
        <f>SUM(E37:E42)</f>
        <v>0</v>
      </c>
      <c r="F43" s="24"/>
      <c r="G43" s="25"/>
      <c r="J43" s="50"/>
      <c r="O43" s="23"/>
    </row>
    <row r="44" spans="1:15" x14ac:dyDescent="0.3">
      <c r="A44" s="11"/>
      <c r="B44" s="26" t="s">
        <v>691</v>
      </c>
      <c r="C44" s="26"/>
      <c r="D44" s="51">
        <f>(D43+D34)</f>
        <v>4573619.6799999988</v>
      </c>
      <c r="E44" s="51">
        <f>(E43+E34)</f>
        <v>0</v>
      </c>
      <c r="F44" s="24"/>
      <c r="G44" s="25"/>
      <c r="H44" s="6" t="s">
        <v>692</v>
      </c>
      <c r="J44" s="50">
        <f>J42+J34+J26</f>
        <v>53747.569999996107</v>
      </c>
      <c r="K44" s="50">
        <f>K42+K34+K26</f>
        <v>0</v>
      </c>
      <c r="O44" s="23"/>
    </row>
    <row r="45" spans="1:15" ht="13.8" thickBot="1" x14ac:dyDescent="0.35">
      <c r="A45" s="11"/>
      <c r="B45" s="31" t="s">
        <v>693</v>
      </c>
      <c r="C45" s="31"/>
      <c r="D45" s="52">
        <f>(D44+D28)</f>
        <v>4964250.7899999963</v>
      </c>
      <c r="E45" s="52">
        <f>(E44+E28)</f>
        <v>0</v>
      </c>
      <c r="F45" s="24"/>
      <c r="G45" s="25"/>
      <c r="H45" s="6" t="s">
        <v>694</v>
      </c>
      <c r="J45" s="50">
        <f>E19</f>
        <v>0</v>
      </c>
      <c r="K45" s="53">
        <v>0</v>
      </c>
      <c r="O45" s="23"/>
    </row>
    <row r="46" spans="1:15" ht="13.8" thickTop="1" x14ac:dyDescent="0.3">
      <c r="A46" s="11"/>
      <c r="B46" s="92"/>
      <c r="C46" s="92"/>
      <c r="D46" s="93">
        <f>D21-D45</f>
        <v>2.0000004209578037E-2</v>
      </c>
      <c r="E46" s="93">
        <f>E21-E45</f>
        <v>0</v>
      </c>
      <c r="F46" s="54"/>
      <c r="G46" s="11"/>
      <c r="H46" s="55" t="s">
        <v>695</v>
      </c>
      <c r="I46" s="55"/>
      <c r="J46" s="56">
        <f>J45+J44</f>
        <v>53747.569999996107</v>
      </c>
      <c r="K46" s="56">
        <f>K45+K44</f>
        <v>0</v>
      </c>
      <c r="O46" s="23"/>
    </row>
    <row r="47" spans="1:15" x14ac:dyDescent="0.3">
      <c r="A47" s="11"/>
      <c r="G47" s="11"/>
      <c r="J47" s="57">
        <f>J46-D19</f>
        <v>-2.0000004675239325E-2</v>
      </c>
    </row>
    <row r="48" spans="1:15" x14ac:dyDescent="0.3">
      <c r="A48" s="11"/>
      <c r="D48" s="58">
        <v>0</v>
      </c>
    </row>
    <row r="49" spans="1:10" x14ac:dyDescent="0.3">
      <c r="A49" s="11"/>
      <c r="D49" s="59">
        <v>0</v>
      </c>
    </row>
    <row r="50" spans="1:10" x14ac:dyDescent="0.3">
      <c r="A50" s="11"/>
      <c r="D50" s="58">
        <v>0</v>
      </c>
      <c r="E50" s="60">
        <f>D48+D49-D50</f>
        <v>0</v>
      </c>
    </row>
    <row r="51" spans="1:10" x14ac:dyDescent="0.3">
      <c r="A51" s="11"/>
    </row>
    <row r="52" spans="1:10" x14ac:dyDescent="0.3">
      <c r="A52" s="11"/>
    </row>
    <row r="53" spans="1:10" x14ac:dyDescent="0.3">
      <c r="A53" s="11"/>
    </row>
    <row r="54" spans="1:10" s="62" customFormat="1" ht="5.25" customHeight="1" x14ac:dyDescent="0.3">
      <c r="A54" s="61"/>
      <c r="F54" s="61"/>
      <c r="G54" s="61"/>
      <c r="J54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</vt:lpstr>
      <vt:lpstr>bs and 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Rasheed</dc:creator>
  <cp:lastModifiedBy>Abdul Rasheed</cp:lastModifiedBy>
  <dcterms:created xsi:type="dcterms:W3CDTF">2026-06-17T16:36:59Z</dcterms:created>
  <dcterms:modified xsi:type="dcterms:W3CDTF">2026-06-18T06:40:47Z</dcterms:modified>
</cp:coreProperties>
</file>