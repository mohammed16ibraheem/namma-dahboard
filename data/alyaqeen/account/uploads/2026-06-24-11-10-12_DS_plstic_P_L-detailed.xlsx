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sheed-DSAA\IT  software\ODO sotware\New folder (2)\"/>
    </mc:Choice>
  </mc:AlternateContent>
  <xr:revisionPtr revIDLastSave="0" documentId="13_ncr:1_{3A8D2383-9E38-4AC9-B9DE-D6F0C9F550AD}" xr6:coauthVersionLast="47" xr6:coauthVersionMax="47" xr10:uidLastSave="{00000000-0000-0000-0000-000000000000}"/>
  <bookViews>
    <workbookView xWindow="0" yWindow="360" windowWidth="23256" windowHeight="12456" xr2:uid="{FAF17A11-C5F8-4650-83FC-402CF97E8614}"/>
  </bookViews>
  <sheets>
    <sheet name="Detailed" sheetId="1" r:id="rId1"/>
  </sheets>
  <definedNames>
    <definedName name="_xlnm._FilterDatabase" localSheetId="0" hidden="1">Detailed!$B$5:$I$142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F20" i="1"/>
  <c r="G20" i="1"/>
  <c r="H20" i="1"/>
  <c r="I20" i="1"/>
  <c r="D20" i="1"/>
  <c r="E141" i="1"/>
  <c r="F141" i="1"/>
  <c r="G141" i="1"/>
  <c r="H141" i="1"/>
  <c r="I141" i="1"/>
  <c r="D141" i="1"/>
  <c r="H142" i="1" l="1"/>
  <c r="G142" i="1"/>
  <c r="D142" i="1"/>
  <c r="E142" i="1"/>
  <c r="F142" i="1"/>
  <c r="I142" i="1"/>
</calcChain>
</file>

<file path=xl/sharedStrings.xml><?xml version="1.0" encoding="utf-8"?>
<sst xmlns="http://schemas.openxmlformats.org/spreadsheetml/2006/main" count="276" uniqueCount="276">
  <si>
    <t>Diamond Star Arabia Industrial Company(Namma)</t>
  </si>
  <si>
    <t>Profit &amp; Loss  01-01-2026 To 31-05-2026</t>
  </si>
  <si>
    <t>Code</t>
  </si>
  <si>
    <t>Account</t>
  </si>
  <si>
    <t>5000</t>
  </si>
  <si>
    <t xml:space="preserve"> Revenue</t>
  </si>
  <si>
    <t>5000-02</t>
  </si>
  <si>
    <t xml:space="preserve">    Local Sales</t>
  </si>
  <si>
    <t>5000-03</t>
  </si>
  <si>
    <t xml:space="preserve">    Other Income</t>
  </si>
  <si>
    <t>9000</t>
  </si>
  <si>
    <t xml:space="preserve"> Cost Of Sales</t>
  </si>
  <si>
    <t>6000-25</t>
  </si>
  <si>
    <t xml:space="preserve">    Inspection Charges</t>
  </si>
  <si>
    <t>6006-05</t>
  </si>
  <si>
    <t xml:space="preserve">    Other Consumables</t>
  </si>
  <si>
    <t>6012-03</t>
  </si>
  <si>
    <t xml:space="preserve">    Loading &amp; Un-loading Exp</t>
  </si>
  <si>
    <t>6020-03</t>
  </si>
  <si>
    <t xml:space="preserve">    Customs Clearance Charges</t>
  </si>
  <si>
    <t>6012-04</t>
  </si>
  <si>
    <t xml:space="preserve">    Transportation Exp</t>
  </si>
  <si>
    <t>6012-07</t>
  </si>
  <si>
    <t xml:space="preserve">    Material Packing Exp</t>
  </si>
  <si>
    <t>6012-11</t>
  </si>
  <si>
    <t xml:space="preserve">    Weightment Exp</t>
  </si>
  <si>
    <t>9000-01</t>
  </si>
  <si>
    <t xml:space="preserve">    Cost Of Sales</t>
  </si>
  <si>
    <t>9000-02</t>
  </si>
  <si>
    <t xml:space="preserve">    Material Wastage</t>
  </si>
  <si>
    <t>9000-07</t>
  </si>
  <si>
    <t xml:space="preserve">    Bailing &amp; Shredding Service Charges</t>
  </si>
  <si>
    <t>6000</t>
  </si>
  <si>
    <t xml:space="preserve"> Cost Of Employment</t>
  </si>
  <si>
    <t>6000-01</t>
  </si>
  <si>
    <t xml:space="preserve">    Salaries &amp; Wages</t>
  </si>
  <si>
    <t>6000-05</t>
  </si>
  <si>
    <t xml:space="preserve">    Overtime</t>
  </si>
  <si>
    <t>6000-06</t>
  </si>
  <si>
    <t xml:space="preserve">    GOSSI Payments</t>
  </si>
  <si>
    <t>6000-07</t>
  </si>
  <si>
    <t xml:space="preserve">    Medical Exp</t>
  </si>
  <si>
    <t>6000-08</t>
  </si>
  <si>
    <t xml:space="preserve">    LFA Expenses</t>
  </si>
  <si>
    <t>6000-09</t>
  </si>
  <si>
    <t xml:space="preserve">    Vacation Pay Exp</t>
  </si>
  <si>
    <t>6000-10</t>
  </si>
  <si>
    <t xml:space="preserve">    Gratuity Exp</t>
  </si>
  <si>
    <t>6000-11</t>
  </si>
  <si>
    <t xml:space="preserve">    Staff Insurance</t>
  </si>
  <si>
    <t>6000-13</t>
  </si>
  <si>
    <t xml:space="preserve">    Uniform &amp; Safety Supplies</t>
  </si>
  <si>
    <t>6000-14</t>
  </si>
  <si>
    <t xml:space="preserve">    Recruiting / Visa Exp</t>
  </si>
  <si>
    <t>6000-15</t>
  </si>
  <si>
    <t xml:space="preserve">    Casual Labour Salaries</t>
  </si>
  <si>
    <t>6000-17</t>
  </si>
  <si>
    <t xml:space="preserve">    Employees Iqama Exp</t>
  </si>
  <si>
    <t>6000-18</t>
  </si>
  <si>
    <t xml:space="preserve">    Employees Work Permit Exp</t>
  </si>
  <si>
    <t>6000-19</t>
  </si>
  <si>
    <t xml:space="preserve">    Employees Exit &amp; Re-entry Exp</t>
  </si>
  <si>
    <t>6000-23</t>
  </si>
  <si>
    <t xml:space="preserve">    Employees Iqama Renewal Exp</t>
  </si>
  <si>
    <t>6003</t>
  </si>
  <si>
    <t xml:space="preserve"> Rent &amp; Rates</t>
  </si>
  <si>
    <t>6003-05</t>
  </si>
  <si>
    <t xml:space="preserve">    RENTAL CONTAINER EXP</t>
  </si>
  <si>
    <t>6003-01</t>
  </si>
  <si>
    <t xml:space="preserve">    Factory Rent</t>
  </si>
  <si>
    <t>6003-03</t>
  </si>
  <si>
    <t xml:space="preserve">    Forklift Rent</t>
  </si>
  <si>
    <t>6005</t>
  </si>
  <si>
    <t xml:space="preserve"> Depreciation Exp</t>
  </si>
  <si>
    <t>6005-02</t>
  </si>
  <si>
    <t xml:space="preserve">    Dep Exp-Plant &amp; Machinery</t>
  </si>
  <si>
    <t>6005-04</t>
  </si>
  <si>
    <t xml:space="preserve">    Dep Exp-Office Equipments</t>
  </si>
  <si>
    <t>6005-05</t>
  </si>
  <si>
    <t xml:space="preserve">    Dep Exp-Vehicles</t>
  </si>
  <si>
    <t>6005-06</t>
  </si>
  <si>
    <t xml:space="preserve">    Dep Exp-Furniture &amp; Fixtures</t>
  </si>
  <si>
    <t>6005-11</t>
  </si>
  <si>
    <t xml:space="preserve">    Dep Exp-Lease Hold Improvments</t>
  </si>
  <si>
    <t>6005-07</t>
  </si>
  <si>
    <t xml:space="preserve">    Dep Exp-Computers</t>
  </si>
  <si>
    <t>6005-09</t>
  </si>
  <si>
    <t xml:space="preserve">    Dep Exp-Store Equipments</t>
  </si>
  <si>
    <t>6006</t>
  </si>
  <si>
    <t xml:space="preserve"> Repairs &amp; Maintenance</t>
  </si>
  <si>
    <t>6006-01</t>
  </si>
  <si>
    <t xml:space="preserve">    R &amp; M- Building</t>
  </si>
  <si>
    <t>6006-02</t>
  </si>
  <si>
    <t xml:space="preserve">    R &amp; M-Plant &amp; Machinery</t>
  </si>
  <si>
    <t>9000-03</t>
  </si>
  <si>
    <t xml:space="preserve">    Fire Fighting Expenses</t>
  </si>
  <si>
    <t>6006-03</t>
  </si>
  <si>
    <t xml:space="preserve">    R &amp; M-Fork Lifts &amp; Other Equipments</t>
  </si>
  <si>
    <t>6006-04</t>
  </si>
  <si>
    <t xml:space="preserve">    R &amp; M-General (Elect &amp; Mech Spares)</t>
  </si>
  <si>
    <t>6006-07</t>
  </si>
  <si>
    <t xml:space="preserve">    R &amp; M-Office Equipment</t>
  </si>
  <si>
    <t>6006-08</t>
  </si>
  <si>
    <t xml:space="preserve">    R &amp; M-Machine MIT # 6 (DSA-MICO-02)</t>
  </si>
  <si>
    <t>6006-09</t>
  </si>
  <si>
    <t xml:space="preserve">    R &amp; M Electrical - Exp</t>
  </si>
  <si>
    <t>6006-10</t>
  </si>
  <si>
    <t xml:space="preserve">    R &amp; M YEI Machine # 07 (DSA-YEI-01)</t>
  </si>
  <si>
    <t>6006-26</t>
  </si>
  <si>
    <t xml:space="preserve">    R &amp; M-Forklift Toyota</t>
  </si>
  <si>
    <t>6006-14</t>
  </si>
  <si>
    <t xml:space="preserve">    R &amp; M Crusher Machine</t>
  </si>
  <si>
    <t>6002-29</t>
  </si>
  <si>
    <t xml:space="preserve">    R &amp; M Mico -DSA/MICO/05</t>
  </si>
  <si>
    <t>6006-30</t>
  </si>
  <si>
    <t xml:space="preserve">    R&amp;M FORKLIFT (DS-WR-FKT-TOYOTA- 2)</t>
  </si>
  <si>
    <t>6006-29</t>
  </si>
  <si>
    <t xml:space="preserve">    R&amp;M FORKLIFT (DS-WR-FKT-TOYOTA- 1)</t>
  </si>
  <si>
    <t>6006-15</t>
  </si>
  <si>
    <t xml:space="preserve">    R &amp; M Nissan Forklift UNI CAREER Y1F2 (DSA-UF</t>
  </si>
  <si>
    <t>6006-28</t>
  </si>
  <si>
    <t xml:space="preserve">    R &amp; M- EPS Hot Melting Compress M-400</t>
  </si>
  <si>
    <t>6006-24</t>
  </si>
  <si>
    <t xml:space="preserve">    R&amp;M Mico MIT#5 (DSA-MICO-04)</t>
  </si>
  <si>
    <t>6006-16</t>
  </si>
  <si>
    <t xml:space="preserve">    R &amp; M Bailer Machine</t>
  </si>
  <si>
    <t>6006-25</t>
  </si>
  <si>
    <t xml:space="preserve">    R &amp; M Coreshredder</t>
  </si>
  <si>
    <t>6006-27</t>
  </si>
  <si>
    <t xml:space="preserve">    R &amp; M - Weighbridge</t>
  </si>
  <si>
    <t>6006-23</t>
  </si>
  <si>
    <t xml:space="preserve">    R &amp; M - PRESONA MACHINE</t>
  </si>
  <si>
    <t>6006-37</t>
  </si>
  <si>
    <t xml:space="preserve">    R&amp;M JCB POCLAIN -NEW</t>
  </si>
  <si>
    <t>6006-18</t>
  </si>
  <si>
    <t xml:space="preserve">    R &amp; M Zamil Chiller</t>
  </si>
  <si>
    <t>6006-36</t>
  </si>
  <si>
    <t xml:space="preserve">    R &amp; M Washing Plant (DSA-WP- 01)</t>
  </si>
  <si>
    <t>6006-21</t>
  </si>
  <si>
    <t xml:space="preserve">    R &amp; M MICO MIT # 4 (DSA-MICO-03)</t>
  </si>
  <si>
    <t>6007</t>
  </si>
  <si>
    <t xml:space="preserve"> Repair &amp; Maint-Vehicles</t>
  </si>
  <si>
    <t>6007-02</t>
  </si>
  <si>
    <t xml:space="preserve">    R &amp; M Isuzu EVS-0321</t>
  </si>
  <si>
    <t>6007-06</t>
  </si>
  <si>
    <t xml:space="preserve">    R &amp; M -Staff Related Vehicle</t>
  </si>
  <si>
    <t>6007-08</t>
  </si>
  <si>
    <t xml:space="preserve">    R &amp; M -4677-GEA</t>
  </si>
  <si>
    <t>6007-09</t>
  </si>
  <si>
    <t xml:space="preserve">    R &amp; M -6486 TLA</t>
  </si>
  <si>
    <t>6007-32</t>
  </si>
  <si>
    <t xml:space="preserve">    R &amp; M Veh &amp; Machinery Service Charge</t>
  </si>
  <si>
    <t>6007-13</t>
  </si>
  <si>
    <t xml:space="preserve">    R &amp; M -9054-RJD</t>
  </si>
  <si>
    <t>6007-14</t>
  </si>
  <si>
    <t xml:space="preserve">    R &amp; M Exp-V-2634</t>
  </si>
  <si>
    <t>6007-33</t>
  </si>
  <si>
    <t xml:space="preserve">    R &amp; M AYAT PM-34 V#7114</t>
  </si>
  <si>
    <t>6008</t>
  </si>
  <si>
    <t xml:space="preserve"> Gasoline Expenses</t>
  </si>
  <si>
    <t>6008-01</t>
  </si>
  <si>
    <t xml:space="preserve">    Fuel Exp</t>
  </si>
  <si>
    <t>6008-02</t>
  </si>
  <si>
    <t xml:space="preserve">    Fuel - Generators &amp; ForkLifts</t>
  </si>
  <si>
    <t>6008-04</t>
  </si>
  <si>
    <t xml:space="preserve">    Fuel Exp-V-4677 GEA</t>
  </si>
  <si>
    <t>6008-06</t>
  </si>
  <si>
    <t xml:space="preserve">    Fuel Exp EVS-0321</t>
  </si>
  <si>
    <t>6008-09</t>
  </si>
  <si>
    <t xml:space="preserve">    Fuel Exp-V-9054 RJD</t>
  </si>
  <si>
    <t>6008-42</t>
  </si>
  <si>
    <t xml:space="preserve">    Fuel Exp (V#4508 ) Rajesh</t>
  </si>
  <si>
    <t>6008-11</t>
  </si>
  <si>
    <t xml:space="preserve">    Fuel Exp-V-2634</t>
  </si>
  <si>
    <t>6008-13</t>
  </si>
  <si>
    <t xml:space="preserve">    Fuel Exp TLA - 6486</t>
  </si>
  <si>
    <t>6008-19</t>
  </si>
  <si>
    <t xml:space="preserve">    Fuel V#6942</t>
  </si>
  <si>
    <t>6008-23</t>
  </si>
  <si>
    <t xml:space="preserve">    Fuel V#7797</t>
  </si>
  <si>
    <t>6008-35</t>
  </si>
  <si>
    <t xml:space="preserve">    Hydraulic &amp; Engine Oil</t>
  </si>
  <si>
    <t>6008-41</t>
  </si>
  <si>
    <t xml:space="preserve">    Fuel Exp - EVB - 2317</t>
  </si>
  <si>
    <t>6009</t>
  </si>
  <si>
    <t xml:space="preserve"> Insurance</t>
  </si>
  <si>
    <t>6009-01</t>
  </si>
  <si>
    <t xml:space="preserve">    Insurance-Vehicle Exp</t>
  </si>
  <si>
    <t>6012-12</t>
  </si>
  <si>
    <t xml:space="preserve">    Insurance Exp</t>
  </si>
  <si>
    <t>6009-03</t>
  </si>
  <si>
    <t xml:space="preserve">    Insurance-Cash In Safe Exp</t>
  </si>
  <si>
    <t>6009-02</t>
  </si>
  <si>
    <t xml:space="preserve">    Insurance-Medical Exp</t>
  </si>
  <si>
    <t>6012</t>
  </si>
  <si>
    <t xml:space="preserve"> Other G &amp; A Expenses</t>
  </si>
  <si>
    <t>6012-23</t>
  </si>
  <si>
    <t xml:space="preserve">    Group Common Expenses</t>
  </si>
  <si>
    <t>6012-24</t>
  </si>
  <si>
    <t xml:space="preserve">    PGI Expenses Recoved</t>
  </si>
  <si>
    <t>6012-02</t>
  </si>
  <si>
    <t xml:space="preserve">    Office Supplies</t>
  </si>
  <si>
    <t>6012-19</t>
  </si>
  <si>
    <t xml:space="preserve">    Taxi/Bus Fair</t>
  </si>
  <si>
    <t>6012-09</t>
  </si>
  <si>
    <t xml:space="preserve">    Incentive Exp</t>
  </si>
  <si>
    <t>6012-08</t>
  </si>
  <si>
    <t xml:space="preserve">    Others / Business Promotion Exp</t>
  </si>
  <si>
    <t>6012-18</t>
  </si>
  <si>
    <t xml:space="preserve">    Sewerage Dumping Charges</t>
  </si>
  <si>
    <t>6012-17</t>
  </si>
  <si>
    <t xml:space="preserve">    Traffic Fines</t>
  </si>
  <si>
    <t>6012-22</t>
  </si>
  <si>
    <t xml:space="preserve">    Parking Charges</t>
  </si>
  <si>
    <t>6012-01</t>
  </si>
  <si>
    <t xml:space="preserve">    Printing &amp; Stationery</t>
  </si>
  <si>
    <t>6025</t>
  </si>
  <si>
    <t xml:space="preserve"> Fees &amp; Subscription</t>
  </si>
  <si>
    <t>6025-16</t>
  </si>
  <si>
    <t xml:space="preserve">    TAMM PORTAL FEE</t>
  </si>
  <si>
    <t>6025-12</t>
  </si>
  <si>
    <t xml:space="preserve">    Mwan Export License Fee</t>
  </si>
  <si>
    <t>6025-11</t>
  </si>
  <si>
    <t xml:space="preserve">    Software Expenses</t>
  </si>
  <si>
    <t>6025-04</t>
  </si>
  <si>
    <t xml:space="preserve">    Legal Service Fees</t>
  </si>
  <si>
    <t>6025-06</t>
  </si>
  <si>
    <t xml:space="preserve">    Chamber Of Commerce Fee Exp</t>
  </si>
  <si>
    <t>6025-07</t>
  </si>
  <si>
    <t xml:space="preserve">    Fines &amp; Penalities</t>
  </si>
  <si>
    <t>6025-14</t>
  </si>
  <si>
    <t xml:space="preserve">    Muqeem Points Recharge</t>
  </si>
  <si>
    <t>6025-09</t>
  </si>
  <si>
    <t xml:space="preserve">    C-R License Fee</t>
  </si>
  <si>
    <t>6025-17</t>
  </si>
  <si>
    <t xml:space="preserve">    ISO Certification Expense</t>
  </si>
  <si>
    <t>6025-05</t>
  </si>
  <si>
    <t xml:space="preserve">    Subscription Fee</t>
  </si>
  <si>
    <t>6023</t>
  </si>
  <si>
    <t xml:space="preserve"> Utilities</t>
  </si>
  <si>
    <t>6023-01</t>
  </si>
  <si>
    <t xml:space="preserve">    Electricity For Off &amp; Factory</t>
  </si>
  <si>
    <t>6023-02</t>
  </si>
  <si>
    <t xml:space="preserve">    Telephone Charges</t>
  </si>
  <si>
    <t>6023-03</t>
  </si>
  <si>
    <t xml:space="preserve">    Gas &amp; Oxygen For Factory</t>
  </si>
  <si>
    <t>6023-04</t>
  </si>
  <si>
    <t xml:space="preserve">    Water For Office And Factory</t>
  </si>
  <si>
    <t>6023-05</t>
  </si>
  <si>
    <t xml:space="preserve">    Mobile Recharges Exp</t>
  </si>
  <si>
    <t>6014</t>
  </si>
  <si>
    <t xml:space="preserve"> Computer Running Exp</t>
  </si>
  <si>
    <t>6014-01</t>
  </si>
  <si>
    <t xml:space="preserve">    Computer Exp</t>
  </si>
  <si>
    <t>6026</t>
  </si>
  <si>
    <t xml:space="preserve"> Travelling Expenses</t>
  </si>
  <si>
    <t>6026-04</t>
  </si>
  <si>
    <t xml:space="preserve">    Air Ticket &amp; Railway Ticket Exp</t>
  </si>
  <si>
    <t>6030</t>
  </si>
  <si>
    <t xml:space="preserve"> Entertainment</t>
  </si>
  <si>
    <t>6030-03</t>
  </si>
  <si>
    <t xml:space="preserve">    Refreshment Exp</t>
  </si>
  <si>
    <t>7000</t>
  </si>
  <si>
    <t xml:space="preserve"> Others Income &amp; Losses</t>
  </si>
  <si>
    <t>7000-06</t>
  </si>
  <si>
    <t xml:space="preserve">    Round-off Difference</t>
  </si>
  <si>
    <t>7000-07</t>
  </si>
  <si>
    <t xml:space="preserve">    Non-Claimable Vat</t>
  </si>
  <si>
    <t>7500</t>
  </si>
  <si>
    <t xml:space="preserve"> Financial Charges-FC</t>
  </si>
  <si>
    <t>7500-01</t>
  </si>
  <si>
    <t xml:space="preserve">    Bank Charges</t>
  </si>
  <si>
    <t>Total Expenses</t>
  </si>
  <si>
    <t>Grosss Profit</t>
  </si>
  <si>
    <t xml:space="preserve">Net Profit  </t>
  </si>
  <si>
    <t xml:space="preserve">Jan to 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</si>
</sst>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/>
    <xf numFmtId="49" fontId="0" fillId="0" borderId="0" xfId="0" applyNumberFormat="1" applyAlignment="1"/>
    <xf numFmtId="49" fontId="3" fillId="3" borderId="1" xfId="0" applyNumberFormat="1" applyFont="1" applyFill="1" applyBorder="1" applyAlignment="1"/>
    <xf numFmtId="4" fontId="0" fillId="0" borderId="0" xfId="0" applyNumberFormat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9" fontId="0" fillId="4" borderId="0" xfId="0" applyNumberFormat="1" applyFill="1" applyAlignment="1"/>
    <xf numFmtId="4" fontId="0" fillId="4" borderId="0" xfId="0" applyNumberFormat="1" applyFill="1" applyAlignment="1">
      <alignment horizontal="right"/>
    </xf>
    <xf numFmtId="49" fontId="0" fillId="5" borderId="0" xfId="0" applyNumberFormat="1" applyFill="1" applyAlignment="1"/>
    <xf numFmtId="4" fontId="0" fillId="5" borderId="0" xfId="0" applyNumberFormat="1" applyFill="1" applyAlignment="1">
      <alignment horizontal="right"/>
    </xf>
    <xf numFmtId="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0" fillId="5" borderId="0" xfId="0" applyNumberFormat="1" applyFill="1" applyAlignment="1">
      <alignment horizontal="right"/>
    </xf>
    <xf numFmtId="167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E61B-3056-4868-A735-12C8C2BA189B}">
  <dimension ref="B1:J142"/>
  <sheetViews>
    <sheetView tabSelected="1" workbookViewId="0">
      <selection activeCell="C14" sqref="C14"/>
    </sheetView>
  </sheetViews>
  <sheetFormatPr defaultRowHeight="14.4" x14ac:dyDescent="0.3"/>
  <cols>
    <col min="2" max="2" width="7.6640625" bestFit="1" customWidth="1"/>
    <col min="3" max="3" width="42.6640625" bestFit="1" customWidth="1"/>
    <col min="4" max="4" width="13.88671875" customWidth="1"/>
    <col min="5" max="9" width="11.44140625" bestFit="1" customWidth="1"/>
  </cols>
  <sheetData>
    <row r="1" spans="2:10" ht="19.95" customHeight="1" x14ac:dyDescent="0.3">
      <c r="B1" s="2" t="s">
        <v>0</v>
      </c>
      <c r="C1" s="1"/>
      <c r="D1" s="1"/>
      <c r="E1" s="1"/>
      <c r="F1" s="1"/>
      <c r="G1" s="1"/>
      <c r="H1" s="1"/>
      <c r="I1" s="1"/>
    </row>
    <row r="2" spans="2:10" x14ac:dyDescent="0.3">
      <c r="B2" s="2" t="s">
        <v>1</v>
      </c>
      <c r="C2" s="2"/>
      <c r="D2" s="2"/>
      <c r="E2" s="2"/>
      <c r="F2" s="2"/>
      <c r="G2" s="2"/>
      <c r="H2" s="2"/>
      <c r="I2" s="2"/>
    </row>
    <row r="3" spans="2:10" x14ac:dyDescent="0.3">
      <c r="B3" s="2"/>
      <c r="C3" s="2"/>
      <c r="D3" s="2"/>
      <c r="E3" s="2"/>
      <c r="F3" s="2"/>
      <c r="G3" s="2"/>
      <c r="H3" s="2"/>
      <c r="I3" s="2"/>
    </row>
    <row r="4" spans="2:10" x14ac:dyDescent="0.3">
      <c r="B4" s="4"/>
      <c r="C4" s="4"/>
      <c r="D4" s="6"/>
      <c r="E4" s="6"/>
      <c r="F4" s="6"/>
      <c r="G4" s="6"/>
      <c r="H4" s="6"/>
      <c r="I4" s="6"/>
    </row>
    <row r="5" spans="2:10" x14ac:dyDescent="0.3">
      <c r="B5" s="5" t="s">
        <v>2</v>
      </c>
      <c r="C5" s="5" t="s">
        <v>3</v>
      </c>
      <c r="D5" s="7" t="s">
        <v>275</v>
      </c>
      <c r="E5" s="15">
        <v>46048</v>
      </c>
      <c r="F5" s="15">
        <v>46079</v>
      </c>
      <c r="G5" s="15">
        <v>46107</v>
      </c>
      <c r="H5" s="15">
        <v>46138</v>
      </c>
      <c r="I5" s="15">
        <v>46168</v>
      </c>
      <c r="J5" s="3"/>
    </row>
    <row r="6" spans="2:10" x14ac:dyDescent="0.3">
      <c r="B6" s="8" t="s">
        <v>4</v>
      </c>
      <c r="C6" s="8" t="s">
        <v>5</v>
      </c>
      <c r="D6" s="9"/>
      <c r="E6" s="9"/>
      <c r="F6" s="9"/>
      <c r="G6" s="9"/>
      <c r="H6" s="9"/>
      <c r="I6" s="9"/>
    </row>
    <row r="7" spans="2:10" x14ac:dyDescent="0.3">
      <c r="B7" s="4" t="s">
        <v>6</v>
      </c>
      <c r="C7" s="4" t="s">
        <v>7</v>
      </c>
      <c r="D7" s="6">
        <v>5925942.9299999997</v>
      </c>
      <c r="E7" s="6">
        <v>1379782.25</v>
      </c>
      <c r="F7" s="6">
        <v>995089.5</v>
      </c>
      <c r="G7" s="6">
        <v>1051621.8</v>
      </c>
      <c r="H7" s="6">
        <v>1400825.56</v>
      </c>
      <c r="I7" s="6">
        <v>1098623.82</v>
      </c>
    </row>
    <row r="8" spans="2:10" x14ac:dyDescent="0.3">
      <c r="B8" s="4" t="s">
        <v>8</v>
      </c>
      <c r="C8" s="4" t="s">
        <v>9</v>
      </c>
      <c r="D8" s="6">
        <v>1246864.6200000001</v>
      </c>
      <c r="E8" s="6">
        <v>219840.73</v>
      </c>
      <c r="F8" s="6">
        <v>241752.79</v>
      </c>
      <c r="G8" s="6">
        <v>272055.03999999998</v>
      </c>
      <c r="H8" s="6">
        <v>254331.3</v>
      </c>
      <c r="I8" s="6">
        <v>258884.76</v>
      </c>
    </row>
    <row r="9" spans="2:10" x14ac:dyDescent="0.3">
      <c r="B9" s="4" t="s">
        <v>30</v>
      </c>
      <c r="C9" s="4" t="s">
        <v>31</v>
      </c>
      <c r="D9" s="6">
        <v>156292.15</v>
      </c>
      <c r="E9" s="6">
        <v>156292.15</v>
      </c>
      <c r="F9" s="6">
        <v>0</v>
      </c>
      <c r="G9" s="6">
        <v>0</v>
      </c>
      <c r="H9" s="6">
        <v>0</v>
      </c>
      <c r="I9" s="6">
        <v>0</v>
      </c>
    </row>
    <row r="10" spans="2:10" x14ac:dyDescent="0.3">
      <c r="B10" s="8" t="s">
        <v>10</v>
      </c>
      <c r="C10" s="8" t="s">
        <v>11</v>
      </c>
      <c r="D10" s="9"/>
      <c r="E10" s="9"/>
      <c r="F10" s="9"/>
      <c r="G10" s="9"/>
      <c r="H10" s="9"/>
      <c r="I10" s="9"/>
    </row>
    <row r="11" spans="2:10" x14ac:dyDescent="0.3">
      <c r="B11" s="4" t="s">
        <v>12</v>
      </c>
      <c r="C11" s="4" t="s">
        <v>13</v>
      </c>
      <c r="D11" s="6">
        <v>0</v>
      </c>
      <c r="E11" s="6">
        <v>0</v>
      </c>
      <c r="F11" s="6">
        <v>0</v>
      </c>
      <c r="G11" s="6">
        <v>0</v>
      </c>
      <c r="H11" s="6">
        <v>3200</v>
      </c>
      <c r="I11" s="6">
        <v>-3200</v>
      </c>
    </row>
    <row r="12" spans="2:10" x14ac:dyDescent="0.3">
      <c r="B12" s="4" t="s">
        <v>14</v>
      </c>
      <c r="C12" s="4" t="s">
        <v>15</v>
      </c>
      <c r="D12" s="6">
        <v>2249</v>
      </c>
      <c r="E12" s="6">
        <v>0</v>
      </c>
      <c r="F12" s="6">
        <v>2249</v>
      </c>
      <c r="G12" s="6">
        <v>0</v>
      </c>
      <c r="H12" s="6">
        <v>0</v>
      </c>
      <c r="I12" s="6">
        <v>0</v>
      </c>
    </row>
    <row r="13" spans="2:10" x14ac:dyDescent="0.3">
      <c r="B13" s="4" t="s">
        <v>16</v>
      </c>
      <c r="C13" s="4" t="s">
        <v>17</v>
      </c>
      <c r="D13" s="6">
        <v>980</v>
      </c>
      <c r="E13" s="6">
        <v>0</v>
      </c>
      <c r="F13" s="6">
        <v>50</v>
      </c>
      <c r="G13" s="6">
        <v>0</v>
      </c>
      <c r="H13" s="6">
        <v>650</v>
      </c>
      <c r="I13" s="6">
        <v>280</v>
      </c>
    </row>
    <row r="14" spans="2:10" x14ac:dyDescent="0.3">
      <c r="B14" s="4" t="s">
        <v>18</v>
      </c>
      <c r="C14" s="4" t="s">
        <v>19</v>
      </c>
      <c r="D14" s="6">
        <v>1115</v>
      </c>
      <c r="E14" s="6">
        <v>0</v>
      </c>
      <c r="F14" s="6">
        <v>0</v>
      </c>
      <c r="G14" s="6">
        <v>0</v>
      </c>
      <c r="H14" s="6">
        <v>1115</v>
      </c>
      <c r="I14" s="6">
        <v>0</v>
      </c>
    </row>
    <row r="15" spans="2:10" x14ac:dyDescent="0.3">
      <c r="B15" s="4" t="s">
        <v>20</v>
      </c>
      <c r="C15" s="4" t="s">
        <v>21</v>
      </c>
      <c r="D15" s="6">
        <v>28081</v>
      </c>
      <c r="E15" s="6">
        <v>2850</v>
      </c>
      <c r="F15" s="6">
        <v>5927</v>
      </c>
      <c r="G15" s="6">
        <v>0</v>
      </c>
      <c r="H15" s="6">
        <v>10554</v>
      </c>
      <c r="I15" s="6">
        <v>8750</v>
      </c>
    </row>
    <row r="16" spans="2:10" x14ac:dyDescent="0.3">
      <c r="B16" s="4" t="s">
        <v>22</v>
      </c>
      <c r="C16" s="4" t="s">
        <v>23</v>
      </c>
      <c r="D16" s="6">
        <v>100840</v>
      </c>
      <c r="E16" s="6">
        <v>7780</v>
      </c>
      <c r="F16" s="6">
        <v>21808</v>
      </c>
      <c r="G16" s="6">
        <v>34514</v>
      </c>
      <c r="H16" s="6">
        <v>33138</v>
      </c>
      <c r="I16" s="6">
        <v>3600</v>
      </c>
    </row>
    <row r="17" spans="2:9" x14ac:dyDescent="0.3">
      <c r="B17" s="4" t="s">
        <v>24</v>
      </c>
      <c r="C17" s="4" t="s">
        <v>25</v>
      </c>
      <c r="D17" s="6">
        <v>3204.7</v>
      </c>
      <c r="E17" s="6">
        <v>0</v>
      </c>
      <c r="F17" s="6">
        <v>0</v>
      </c>
      <c r="G17" s="6">
        <v>1817.54</v>
      </c>
      <c r="H17" s="6">
        <v>-433.84</v>
      </c>
      <c r="I17" s="6">
        <v>1821</v>
      </c>
    </row>
    <row r="18" spans="2:9" x14ac:dyDescent="0.3">
      <c r="B18" s="4" t="s">
        <v>26</v>
      </c>
      <c r="C18" s="4" t="s">
        <v>27</v>
      </c>
      <c r="D18" s="6">
        <v>4082440.32</v>
      </c>
      <c r="E18" s="6">
        <v>1178895.9099999999</v>
      </c>
      <c r="F18" s="6">
        <v>664480.5</v>
      </c>
      <c r="G18" s="6">
        <v>647350.4</v>
      </c>
      <c r="H18" s="6">
        <v>921618.63</v>
      </c>
      <c r="I18" s="6">
        <v>670094.88</v>
      </c>
    </row>
    <row r="19" spans="2:9" x14ac:dyDescent="0.3">
      <c r="B19" s="4" t="s">
        <v>28</v>
      </c>
      <c r="C19" s="4" t="s">
        <v>29</v>
      </c>
      <c r="D19" s="6">
        <v>33569.919999999998</v>
      </c>
      <c r="E19" s="6">
        <v>5509.74</v>
      </c>
      <c r="F19" s="6">
        <v>5904.77</v>
      </c>
      <c r="G19" s="6">
        <v>6548.81</v>
      </c>
      <c r="H19" s="6">
        <v>8927.94</v>
      </c>
      <c r="I19" s="6">
        <v>6678.66</v>
      </c>
    </row>
    <row r="20" spans="2:9" x14ac:dyDescent="0.3">
      <c r="B20" s="10"/>
      <c r="C20" s="14" t="s">
        <v>273</v>
      </c>
      <c r="D20" s="11">
        <f>SUM(D7:D9)-SUM(D11:D19)</f>
        <v>3076619.7600000007</v>
      </c>
      <c r="E20" s="11">
        <f t="shared" ref="E20:I20" si="0">SUM(E7:E9)-SUM(E11:E19)</f>
        <v>560879.48</v>
      </c>
      <c r="F20" s="11">
        <f t="shared" si="0"/>
        <v>536423.02</v>
      </c>
      <c r="G20" s="11">
        <f t="shared" si="0"/>
        <v>633446.09</v>
      </c>
      <c r="H20" s="11">
        <f t="shared" si="0"/>
        <v>676387.13000000012</v>
      </c>
      <c r="I20" s="11">
        <f t="shared" si="0"/>
        <v>669484.04</v>
      </c>
    </row>
    <row r="21" spans="2:9" x14ac:dyDescent="0.3">
      <c r="B21" s="8" t="s">
        <v>32</v>
      </c>
      <c r="C21" s="8" t="s">
        <v>33</v>
      </c>
      <c r="D21" s="9"/>
      <c r="E21" s="9"/>
      <c r="F21" s="9"/>
      <c r="G21" s="9"/>
      <c r="H21" s="9"/>
      <c r="I21" s="9"/>
    </row>
    <row r="22" spans="2:9" x14ac:dyDescent="0.3">
      <c r="B22" s="4" t="s">
        <v>34</v>
      </c>
      <c r="C22" s="4" t="s">
        <v>35</v>
      </c>
      <c r="D22" s="6">
        <v>693689</v>
      </c>
      <c r="E22" s="6">
        <v>130758</v>
      </c>
      <c r="F22" s="6">
        <v>136493</v>
      </c>
      <c r="G22" s="6">
        <v>153092</v>
      </c>
      <c r="H22" s="6">
        <v>139162</v>
      </c>
      <c r="I22" s="6">
        <v>134184</v>
      </c>
    </row>
    <row r="23" spans="2:9" x14ac:dyDescent="0.3">
      <c r="B23" s="4" t="s">
        <v>36</v>
      </c>
      <c r="C23" s="4" t="s">
        <v>37</v>
      </c>
      <c r="D23" s="6">
        <v>55494</v>
      </c>
      <c r="E23" s="6">
        <v>10134</v>
      </c>
      <c r="F23" s="6">
        <v>11310</v>
      </c>
      <c r="G23" s="6">
        <v>14057</v>
      </c>
      <c r="H23" s="6">
        <v>11069</v>
      </c>
      <c r="I23" s="6">
        <v>8924</v>
      </c>
    </row>
    <row r="24" spans="2:9" x14ac:dyDescent="0.3">
      <c r="B24" s="4" t="s">
        <v>38</v>
      </c>
      <c r="C24" s="4" t="s">
        <v>39</v>
      </c>
      <c r="D24" s="6">
        <v>81157.08</v>
      </c>
      <c r="E24" s="6">
        <v>15894.58</v>
      </c>
      <c r="F24" s="6">
        <v>16780.580000000002</v>
      </c>
      <c r="G24" s="6">
        <v>16067.08</v>
      </c>
      <c r="H24" s="6">
        <v>16069.34</v>
      </c>
      <c r="I24" s="6">
        <v>16345.5</v>
      </c>
    </row>
    <row r="25" spans="2:9" x14ac:dyDescent="0.3">
      <c r="B25" s="4" t="s">
        <v>40</v>
      </c>
      <c r="C25" s="4" t="s">
        <v>41</v>
      </c>
      <c r="D25" s="6">
        <v>16</v>
      </c>
      <c r="E25" s="6">
        <v>0</v>
      </c>
      <c r="F25" s="6">
        <v>16</v>
      </c>
      <c r="G25" s="6">
        <v>0</v>
      </c>
      <c r="H25" s="6">
        <v>0</v>
      </c>
      <c r="I25" s="6">
        <v>0</v>
      </c>
    </row>
    <row r="26" spans="2:9" x14ac:dyDescent="0.3">
      <c r="B26" s="4" t="s">
        <v>42</v>
      </c>
      <c r="C26" s="4" t="s">
        <v>43</v>
      </c>
      <c r="D26" s="6">
        <v>26768.58</v>
      </c>
      <c r="E26" s="6">
        <v>5988.16</v>
      </c>
      <c r="F26" s="6">
        <v>6438.42</v>
      </c>
      <c r="G26" s="6">
        <v>4775</v>
      </c>
      <c r="H26" s="6">
        <v>4992</v>
      </c>
      <c r="I26" s="6">
        <v>4575</v>
      </c>
    </row>
    <row r="27" spans="2:9" x14ac:dyDescent="0.3">
      <c r="B27" s="4" t="s">
        <v>44</v>
      </c>
      <c r="C27" s="4" t="s">
        <v>45</v>
      </c>
      <c r="D27" s="6">
        <v>31711.5</v>
      </c>
      <c r="E27" s="6">
        <v>4627.66</v>
      </c>
      <c r="F27" s="6">
        <v>6454.84</v>
      </c>
      <c r="G27" s="6">
        <v>5861</v>
      </c>
      <c r="H27" s="6">
        <v>7639</v>
      </c>
      <c r="I27" s="6">
        <v>7129</v>
      </c>
    </row>
    <row r="28" spans="2:9" x14ac:dyDescent="0.3">
      <c r="B28" s="4" t="s">
        <v>46</v>
      </c>
      <c r="C28" s="4" t="s">
        <v>47</v>
      </c>
      <c r="D28" s="6">
        <v>42774</v>
      </c>
      <c r="E28" s="6">
        <v>26306.240000000002</v>
      </c>
      <c r="F28" s="6">
        <v>-11403.24</v>
      </c>
      <c r="G28" s="6">
        <v>6956</v>
      </c>
      <c r="H28" s="6">
        <v>10786</v>
      </c>
      <c r="I28" s="6">
        <v>10129</v>
      </c>
    </row>
    <row r="29" spans="2:9" x14ac:dyDescent="0.3">
      <c r="B29" s="4" t="s">
        <v>48</v>
      </c>
      <c r="C29" s="4" t="s">
        <v>49</v>
      </c>
      <c r="D29" s="6">
        <v>3256.25</v>
      </c>
      <c r="E29" s="6">
        <v>0</v>
      </c>
      <c r="F29" s="6">
        <v>0</v>
      </c>
      <c r="G29" s="6">
        <v>3256.25</v>
      </c>
      <c r="H29" s="6">
        <v>0</v>
      </c>
      <c r="I29" s="6">
        <v>0</v>
      </c>
    </row>
    <row r="30" spans="2:9" x14ac:dyDescent="0.3">
      <c r="B30" s="4" t="s">
        <v>50</v>
      </c>
      <c r="C30" s="4" t="s">
        <v>51</v>
      </c>
      <c r="D30" s="6">
        <v>1871.87</v>
      </c>
      <c r="E30" s="6">
        <v>30.45</v>
      </c>
      <c r="F30" s="6">
        <v>1642.29</v>
      </c>
      <c r="G30" s="6">
        <v>0</v>
      </c>
      <c r="H30" s="6">
        <v>60</v>
      </c>
      <c r="I30" s="6">
        <v>139.13</v>
      </c>
    </row>
    <row r="31" spans="2:9" x14ac:dyDescent="0.3">
      <c r="B31" s="4" t="s">
        <v>52</v>
      </c>
      <c r="C31" s="4" t="s">
        <v>53</v>
      </c>
      <c r="D31" s="6">
        <v>10000</v>
      </c>
      <c r="E31" s="6">
        <v>0</v>
      </c>
      <c r="F31" s="6">
        <v>0</v>
      </c>
      <c r="G31" s="6">
        <v>0</v>
      </c>
      <c r="H31" s="6">
        <v>0</v>
      </c>
      <c r="I31" s="6">
        <v>10000</v>
      </c>
    </row>
    <row r="32" spans="2:9" x14ac:dyDescent="0.3">
      <c r="B32" s="4" t="s">
        <v>54</v>
      </c>
      <c r="C32" s="4" t="s">
        <v>55</v>
      </c>
      <c r="D32" s="6">
        <v>110564.78</v>
      </c>
      <c r="E32" s="6">
        <v>23537</v>
      </c>
      <c r="F32" s="6">
        <v>18250</v>
      </c>
      <c r="G32" s="6">
        <v>17777.78</v>
      </c>
      <c r="H32" s="6">
        <v>21576.92</v>
      </c>
      <c r="I32" s="6">
        <v>29423.08</v>
      </c>
    </row>
    <row r="33" spans="2:9" x14ac:dyDescent="0.3">
      <c r="B33" s="4" t="s">
        <v>56</v>
      </c>
      <c r="C33" s="4" t="s">
        <v>57</v>
      </c>
      <c r="D33" s="6">
        <v>325</v>
      </c>
      <c r="E33" s="6">
        <v>0</v>
      </c>
      <c r="F33" s="6">
        <v>0</v>
      </c>
      <c r="G33" s="6">
        <v>0</v>
      </c>
      <c r="H33" s="6">
        <v>0</v>
      </c>
      <c r="I33" s="6">
        <v>325</v>
      </c>
    </row>
    <row r="34" spans="2:9" x14ac:dyDescent="0.3">
      <c r="B34" s="4" t="s">
        <v>58</v>
      </c>
      <c r="C34" s="4" t="s">
        <v>59</v>
      </c>
      <c r="D34" s="6">
        <v>18600</v>
      </c>
      <c r="E34" s="6">
        <v>275</v>
      </c>
      <c r="F34" s="6">
        <v>9050</v>
      </c>
      <c r="G34" s="6">
        <v>1100</v>
      </c>
      <c r="H34" s="6">
        <v>900</v>
      </c>
      <c r="I34" s="6">
        <v>7275</v>
      </c>
    </row>
    <row r="35" spans="2:9" x14ac:dyDescent="0.3">
      <c r="B35" s="4" t="s">
        <v>60</v>
      </c>
      <c r="C35" s="4" t="s">
        <v>61</v>
      </c>
      <c r="D35" s="6">
        <v>1900</v>
      </c>
      <c r="E35" s="6">
        <v>200</v>
      </c>
      <c r="F35" s="6">
        <v>1100</v>
      </c>
      <c r="G35" s="6">
        <v>0</v>
      </c>
      <c r="H35" s="6">
        <v>0</v>
      </c>
      <c r="I35" s="6">
        <v>600</v>
      </c>
    </row>
    <row r="36" spans="2:9" x14ac:dyDescent="0.3">
      <c r="B36" s="4" t="s">
        <v>62</v>
      </c>
      <c r="C36" s="4" t="s">
        <v>63</v>
      </c>
      <c r="D36" s="6">
        <v>32677</v>
      </c>
      <c r="E36" s="6">
        <v>4038</v>
      </c>
      <c r="F36" s="6">
        <v>15477</v>
      </c>
      <c r="G36" s="6">
        <v>7150</v>
      </c>
      <c r="H36" s="6">
        <v>5850</v>
      </c>
      <c r="I36" s="6">
        <v>162</v>
      </c>
    </row>
    <row r="37" spans="2:9" x14ac:dyDescent="0.3">
      <c r="B37" s="8" t="s">
        <v>64</v>
      </c>
      <c r="C37" s="8" t="s">
        <v>65</v>
      </c>
      <c r="D37" s="9"/>
      <c r="E37" s="9"/>
      <c r="F37" s="9"/>
      <c r="G37" s="9"/>
      <c r="H37" s="9"/>
      <c r="I37" s="9"/>
    </row>
    <row r="38" spans="2:9" x14ac:dyDescent="0.3">
      <c r="B38" s="4" t="s">
        <v>66</v>
      </c>
      <c r="C38" s="4" t="s">
        <v>67</v>
      </c>
      <c r="D38" s="6">
        <v>5892.6</v>
      </c>
      <c r="E38" s="6">
        <v>5892.6</v>
      </c>
      <c r="F38" s="6">
        <v>0</v>
      </c>
      <c r="G38" s="6">
        <v>0</v>
      </c>
      <c r="H38" s="6">
        <v>0</v>
      </c>
      <c r="I38" s="6">
        <v>0</v>
      </c>
    </row>
    <row r="39" spans="2:9" x14ac:dyDescent="0.3">
      <c r="B39" s="4" t="s">
        <v>68</v>
      </c>
      <c r="C39" s="4" t="s">
        <v>69</v>
      </c>
      <c r="D39" s="6">
        <v>62730</v>
      </c>
      <c r="E39" s="6">
        <v>12546</v>
      </c>
      <c r="F39" s="6">
        <v>12546</v>
      </c>
      <c r="G39" s="6">
        <v>12546</v>
      </c>
      <c r="H39" s="6">
        <v>12546</v>
      </c>
      <c r="I39" s="6">
        <v>12546</v>
      </c>
    </row>
    <row r="40" spans="2:9" x14ac:dyDescent="0.3">
      <c r="B40" s="4" t="s">
        <v>70</v>
      </c>
      <c r="C40" s="4" t="s">
        <v>71</v>
      </c>
      <c r="D40" s="6">
        <v>1050</v>
      </c>
      <c r="E40" s="6">
        <v>600</v>
      </c>
      <c r="F40" s="6">
        <v>0</v>
      </c>
      <c r="G40" s="6">
        <v>0</v>
      </c>
      <c r="H40" s="6">
        <v>450</v>
      </c>
      <c r="I40" s="6">
        <v>0</v>
      </c>
    </row>
    <row r="41" spans="2:9" x14ac:dyDescent="0.3">
      <c r="B41" s="8" t="s">
        <v>72</v>
      </c>
      <c r="C41" s="8" t="s">
        <v>73</v>
      </c>
      <c r="D41" s="9"/>
      <c r="E41" s="9"/>
      <c r="F41" s="9"/>
      <c r="G41" s="9"/>
      <c r="H41" s="9"/>
      <c r="I41" s="9"/>
    </row>
    <row r="42" spans="2:9" x14ac:dyDescent="0.3">
      <c r="B42" s="4" t="s">
        <v>74</v>
      </c>
      <c r="C42" s="4" t="s">
        <v>75</v>
      </c>
      <c r="D42" s="6">
        <v>53505.71</v>
      </c>
      <c r="E42" s="6">
        <v>11021.32</v>
      </c>
      <c r="F42" s="6">
        <v>9954.41</v>
      </c>
      <c r="G42" s="6">
        <v>11021.64</v>
      </c>
      <c r="H42" s="6">
        <v>10754.17</v>
      </c>
      <c r="I42" s="6">
        <v>10754.17</v>
      </c>
    </row>
    <row r="43" spans="2:9" x14ac:dyDescent="0.3">
      <c r="B43" s="4" t="s">
        <v>76</v>
      </c>
      <c r="C43" s="4" t="s">
        <v>77</v>
      </c>
      <c r="D43" s="6">
        <v>409.18</v>
      </c>
      <c r="E43" s="6">
        <v>84.56</v>
      </c>
      <c r="F43" s="6">
        <v>76.349999999999994</v>
      </c>
      <c r="G43" s="6">
        <v>84.59</v>
      </c>
      <c r="H43" s="6">
        <v>81.84</v>
      </c>
      <c r="I43" s="6">
        <v>81.84</v>
      </c>
    </row>
    <row r="44" spans="2:9" x14ac:dyDescent="0.3">
      <c r="B44" s="4" t="s">
        <v>78</v>
      </c>
      <c r="C44" s="4" t="s">
        <v>79</v>
      </c>
      <c r="D44" s="6">
        <v>28603.55</v>
      </c>
      <c r="E44" s="6">
        <v>4730.68</v>
      </c>
      <c r="F44" s="6">
        <v>4272.57</v>
      </c>
      <c r="G44" s="6">
        <v>466.06</v>
      </c>
      <c r="H44" s="6">
        <v>9567.1200000000008</v>
      </c>
      <c r="I44" s="6">
        <v>9567.1200000000008</v>
      </c>
    </row>
    <row r="45" spans="2:9" x14ac:dyDescent="0.3">
      <c r="B45" s="4" t="s">
        <v>80</v>
      </c>
      <c r="C45" s="4" t="s">
        <v>81</v>
      </c>
      <c r="D45" s="6">
        <v>2297.83</v>
      </c>
      <c r="E45" s="6">
        <v>474.89</v>
      </c>
      <c r="F45" s="6">
        <v>429.02</v>
      </c>
      <c r="G45" s="6">
        <v>474.8</v>
      </c>
      <c r="H45" s="6">
        <v>459.56</v>
      </c>
      <c r="I45" s="6">
        <v>459.56</v>
      </c>
    </row>
    <row r="46" spans="2:9" x14ac:dyDescent="0.3">
      <c r="B46" s="4" t="s">
        <v>82</v>
      </c>
      <c r="C46" s="4" t="s">
        <v>83</v>
      </c>
      <c r="D46" s="6">
        <v>33359.54</v>
      </c>
      <c r="E46" s="6">
        <v>55.44</v>
      </c>
      <c r="F46" s="6">
        <v>145.07</v>
      </c>
      <c r="G46" s="6">
        <v>559.13</v>
      </c>
      <c r="H46" s="6">
        <v>16299.95</v>
      </c>
      <c r="I46" s="6">
        <v>16299.95</v>
      </c>
    </row>
    <row r="47" spans="2:9" x14ac:dyDescent="0.3">
      <c r="B47" s="4" t="s">
        <v>84</v>
      </c>
      <c r="C47" s="4" t="s">
        <v>85</v>
      </c>
      <c r="D47" s="6">
        <v>263.93</v>
      </c>
      <c r="E47" s="6">
        <v>54.55</v>
      </c>
      <c r="F47" s="6">
        <v>48.77</v>
      </c>
      <c r="G47" s="6">
        <v>55.05</v>
      </c>
      <c r="H47" s="6">
        <v>52.78</v>
      </c>
      <c r="I47" s="6">
        <v>52.78</v>
      </c>
    </row>
    <row r="48" spans="2:9" x14ac:dyDescent="0.3">
      <c r="B48" s="4" t="s">
        <v>86</v>
      </c>
      <c r="C48" s="4" t="s">
        <v>87</v>
      </c>
      <c r="D48" s="6">
        <v>4303.32</v>
      </c>
      <c r="E48" s="6">
        <v>856.77</v>
      </c>
      <c r="F48" s="6">
        <v>822.88</v>
      </c>
      <c r="G48" s="6">
        <v>883.21</v>
      </c>
      <c r="H48" s="6">
        <v>870.23</v>
      </c>
      <c r="I48" s="6">
        <v>870.23</v>
      </c>
    </row>
    <row r="49" spans="2:9" x14ac:dyDescent="0.3">
      <c r="B49" s="8" t="s">
        <v>88</v>
      </c>
      <c r="C49" s="8" t="s">
        <v>89</v>
      </c>
      <c r="D49" s="9"/>
      <c r="E49" s="9"/>
      <c r="F49" s="9"/>
      <c r="G49" s="9"/>
      <c r="H49" s="9"/>
      <c r="I49" s="9"/>
    </row>
    <row r="50" spans="2:9" x14ac:dyDescent="0.3">
      <c r="B50" s="4" t="s">
        <v>90</v>
      </c>
      <c r="C50" s="4" t="s">
        <v>91</v>
      </c>
      <c r="D50" s="6">
        <v>618.97</v>
      </c>
      <c r="E50" s="6">
        <v>161.97</v>
      </c>
      <c r="F50" s="6">
        <v>0</v>
      </c>
      <c r="G50" s="6">
        <v>0</v>
      </c>
      <c r="H50" s="6">
        <v>289</v>
      </c>
      <c r="I50" s="6">
        <v>168</v>
      </c>
    </row>
    <row r="51" spans="2:9" x14ac:dyDescent="0.3">
      <c r="B51" s="4" t="s">
        <v>92</v>
      </c>
      <c r="C51" s="4" t="s">
        <v>93</v>
      </c>
      <c r="D51" s="6">
        <v>4124.78</v>
      </c>
      <c r="E51" s="6">
        <v>677</v>
      </c>
      <c r="F51" s="6">
        <v>2090.7800000000002</v>
      </c>
      <c r="G51" s="6">
        <v>0</v>
      </c>
      <c r="H51" s="6">
        <v>1357</v>
      </c>
      <c r="I51" s="6">
        <v>0</v>
      </c>
    </row>
    <row r="52" spans="2:9" x14ac:dyDescent="0.3">
      <c r="B52" s="4" t="s">
        <v>94</v>
      </c>
      <c r="C52" s="4" t="s">
        <v>95</v>
      </c>
      <c r="D52" s="6">
        <v>1834.78</v>
      </c>
      <c r="E52" s="6">
        <v>0</v>
      </c>
      <c r="F52" s="6">
        <v>0</v>
      </c>
      <c r="G52" s="6">
        <v>0</v>
      </c>
      <c r="H52" s="6">
        <v>1260</v>
      </c>
      <c r="I52" s="6">
        <v>574.78</v>
      </c>
    </row>
    <row r="53" spans="2:9" x14ac:dyDescent="0.3">
      <c r="B53" s="4" t="s">
        <v>96</v>
      </c>
      <c r="C53" s="4" t="s">
        <v>97</v>
      </c>
      <c r="D53" s="6">
        <v>710.9</v>
      </c>
      <c r="E53" s="6">
        <v>363</v>
      </c>
      <c r="F53" s="6">
        <v>347.9</v>
      </c>
      <c r="G53" s="6">
        <v>0</v>
      </c>
      <c r="H53" s="6">
        <v>0</v>
      </c>
      <c r="I53" s="6">
        <v>0</v>
      </c>
    </row>
    <row r="54" spans="2:9" x14ac:dyDescent="0.3">
      <c r="B54" s="4" t="s">
        <v>98</v>
      </c>
      <c r="C54" s="4" t="s">
        <v>99</v>
      </c>
      <c r="D54" s="6">
        <v>263.29000000000002</v>
      </c>
      <c r="E54" s="6">
        <v>0</v>
      </c>
      <c r="F54" s="6">
        <v>0</v>
      </c>
      <c r="G54" s="6">
        <v>0</v>
      </c>
      <c r="H54" s="6">
        <v>250.24</v>
      </c>
      <c r="I54" s="6">
        <v>13.05</v>
      </c>
    </row>
    <row r="55" spans="2:9" x14ac:dyDescent="0.3">
      <c r="B55" s="4" t="s">
        <v>100</v>
      </c>
      <c r="C55" s="4" t="s">
        <v>101</v>
      </c>
      <c r="D55" s="6">
        <v>2062.23</v>
      </c>
      <c r="E55" s="6">
        <v>1979.83</v>
      </c>
      <c r="F55" s="6">
        <v>25</v>
      </c>
      <c r="G55" s="6">
        <v>0</v>
      </c>
      <c r="H55" s="6">
        <v>57.4</v>
      </c>
      <c r="I55" s="6">
        <v>0</v>
      </c>
    </row>
    <row r="56" spans="2:9" x14ac:dyDescent="0.3">
      <c r="B56" s="4" t="s">
        <v>102</v>
      </c>
      <c r="C56" s="4" t="s">
        <v>103</v>
      </c>
      <c r="D56" s="6">
        <v>5439.67</v>
      </c>
      <c r="E56" s="6">
        <v>930</v>
      </c>
      <c r="F56" s="6">
        <v>0</v>
      </c>
      <c r="G56" s="6">
        <v>0</v>
      </c>
      <c r="H56" s="6">
        <v>3614.17</v>
      </c>
      <c r="I56" s="6">
        <v>895.5</v>
      </c>
    </row>
    <row r="57" spans="2:9" x14ac:dyDescent="0.3">
      <c r="B57" s="4" t="s">
        <v>104</v>
      </c>
      <c r="C57" s="4" t="s">
        <v>105</v>
      </c>
      <c r="D57" s="6">
        <v>490</v>
      </c>
      <c r="E57" s="6">
        <v>246</v>
      </c>
      <c r="F57" s="6">
        <v>34</v>
      </c>
      <c r="G57" s="6">
        <v>0</v>
      </c>
      <c r="H57" s="6">
        <v>165</v>
      </c>
      <c r="I57" s="6">
        <v>45</v>
      </c>
    </row>
    <row r="58" spans="2:9" x14ac:dyDescent="0.3">
      <c r="B58" s="4" t="s">
        <v>106</v>
      </c>
      <c r="C58" s="4" t="s">
        <v>107</v>
      </c>
      <c r="D58" s="6">
        <v>21630.98</v>
      </c>
      <c r="E58" s="6">
        <v>3407.86</v>
      </c>
      <c r="F58" s="6">
        <v>3237.78</v>
      </c>
      <c r="G58" s="6">
        <v>248.75</v>
      </c>
      <c r="H58" s="6">
        <v>9526.68</v>
      </c>
      <c r="I58" s="6">
        <v>5209.91</v>
      </c>
    </row>
    <row r="59" spans="2:9" x14ac:dyDescent="0.3">
      <c r="B59" s="4" t="s">
        <v>108</v>
      </c>
      <c r="C59" s="4" t="s">
        <v>109</v>
      </c>
      <c r="D59" s="6">
        <v>16149.06</v>
      </c>
      <c r="E59" s="6">
        <v>3024.11</v>
      </c>
      <c r="F59" s="6">
        <v>1180</v>
      </c>
      <c r="G59" s="6">
        <v>0</v>
      </c>
      <c r="H59" s="6">
        <v>11944.95</v>
      </c>
      <c r="I59" s="6">
        <v>0</v>
      </c>
    </row>
    <row r="60" spans="2:9" x14ac:dyDescent="0.3">
      <c r="B60" s="4" t="s">
        <v>110</v>
      </c>
      <c r="C60" s="4" t="s">
        <v>111</v>
      </c>
      <c r="D60" s="6">
        <v>100</v>
      </c>
      <c r="E60" s="6">
        <v>0</v>
      </c>
      <c r="F60" s="6">
        <v>0</v>
      </c>
      <c r="G60" s="6">
        <v>0</v>
      </c>
      <c r="H60" s="6">
        <v>60</v>
      </c>
      <c r="I60" s="6">
        <v>40</v>
      </c>
    </row>
    <row r="61" spans="2:9" x14ac:dyDescent="0.3">
      <c r="B61" s="4" t="s">
        <v>112</v>
      </c>
      <c r="C61" s="4" t="s">
        <v>113</v>
      </c>
      <c r="D61" s="6">
        <v>311.27</v>
      </c>
      <c r="E61" s="6">
        <v>311.27</v>
      </c>
      <c r="F61" s="6">
        <v>0</v>
      </c>
      <c r="G61" s="6">
        <v>0</v>
      </c>
      <c r="H61" s="6">
        <v>0</v>
      </c>
      <c r="I61" s="6">
        <v>0</v>
      </c>
    </row>
    <row r="62" spans="2:9" x14ac:dyDescent="0.3">
      <c r="B62" s="4" t="s">
        <v>114</v>
      </c>
      <c r="C62" s="4" t="s">
        <v>115</v>
      </c>
      <c r="D62" s="6">
        <v>626</v>
      </c>
      <c r="E62" s="6">
        <v>0</v>
      </c>
      <c r="F62" s="6">
        <v>0</v>
      </c>
      <c r="G62" s="6">
        <v>0</v>
      </c>
      <c r="H62" s="6">
        <v>0</v>
      </c>
      <c r="I62" s="6">
        <v>626</v>
      </c>
    </row>
    <row r="63" spans="2:9" x14ac:dyDescent="0.3">
      <c r="B63" s="4" t="s">
        <v>116</v>
      </c>
      <c r="C63" s="4" t="s">
        <v>117</v>
      </c>
      <c r="D63" s="6">
        <v>589.35</v>
      </c>
      <c r="E63" s="6">
        <v>0</v>
      </c>
      <c r="F63" s="6">
        <v>0</v>
      </c>
      <c r="G63" s="6">
        <v>0</v>
      </c>
      <c r="H63" s="6">
        <v>0</v>
      </c>
      <c r="I63" s="6">
        <v>589.35</v>
      </c>
    </row>
    <row r="64" spans="2:9" x14ac:dyDescent="0.3">
      <c r="B64" s="4" t="s">
        <v>118</v>
      </c>
      <c r="C64" s="4" t="s">
        <v>119</v>
      </c>
      <c r="D64" s="6">
        <v>5358.48</v>
      </c>
      <c r="E64" s="6">
        <v>1770</v>
      </c>
      <c r="F64" s="6">
        <v>245</v>
      </c>
      <c r="G64" s="6">
        <v>0</v>
      </c>
      <c r="H64" s="6">
        <v>3343.48</v>
      </c>
      <c r="I64" s="6">
        <v>0</v>
      </c>
    </row>
    <row r="65" spans="2:9" x14ac:dyDescent="0.3">
      <c r="B65" s="4" t="s">
        <v>120</v>
      </c>
      <c r="C65" s="4" t="s">
        <v>121</v>
      </c>
      <c r="D65" s="6">
        <v>420</v>
      </c>
      <c r="E65" s="6">
        <v>0</v>
      </c>
      <c r="F65" s="6">
        <v>400</v>
      </c>
      <c r="G65" s="6">
        <v>0</v>
      </c>
      <c r="H65" s="6">
        <v>0</v>
      </c>
      <c r="I65" s="6">
        <v>20</v>
      </c>
    </row>
    <row r="66" spans="2:9" x14ac:dyDescent="0.3">
      <c r="B66" s="4" t="s">
        <v>122</v>
      </c>
      <c r="C66" s="4" t="s">
        <v>123</v>
      </c>
      <c r="D66" s="6">
        <v>530</v>
      </c>
      <c r="E66" s="6">
        <v>0</v>
      </c>
      <c r="F66" s="6">
        <v>530</v>
      </c>
      <c r="G66" s="6">
        <v>0</v>
      </c>
      <c r="H66" s="6">
        <v>0</v>
      </c>
      <c r="I66" s="6">
        <v>0</v>
      </c>
    </row>
    <row r="67" spans="2:9" x14ac:dyDescent="0.3">
      <c r="B67" s="4" t="s">
        <v>124</v>
      </c>
      <c r="C67" s="4" t="s">
        <v>125</v>
      </c>
      <c r="D67" s="6">
        <v>158.04</v>
      </c>
      <c r="E67" s="6">
        <v>0</v>
      </c>
      <c r="F67" s="6">
        <v>0</v>
      </c>
      <c r="G67" s="6">
        <v>0</v>
      </c>
      <c r="H67" s="6">
        <v>158.04</v>
      </c>
      <c r="I67" s="6">
        <v>0</v>
      </c>
    </row>
    <row r="68" spans="2:9" x14ac:dyDescent="0.3">
      <c r="B68" s="4" t="s">
        <v>126</v>
      </c>
      <c r="C68" s="4" t="s">
        <v>127</v>
      </c>
      <c r="D68" s="6">
        <v>2577.5</v>
      </c>
      <c r="E68" s="6">
        <v>0</v>
      </c>
      <c r="F68" s="6">
        <v>1200</v>
      </c>
      <c r="G68" s="6">
        <v>0</v>
      </c>
      <c r="H68" s="6">
        <v>1377.5</v>
      </c>
      <c r="I68" s="6">
        <v>0</v>
      </c>
    </row>
    <row r="69" spans="2:9" x14ac:dyDescent="0.3">
      <c r="B69" s="4" t="s">
        <v>128</v>
      </c>
      <c r="C69" s="4" t="s">
        <v>129</v>
      </c>
      <c r="D69" s="6">
        <v>2000</v>
      </c>
      <c r="E69" s="6">
        <v>2000</v>
      </c>
      <c r="F69" s="6">
        <v>0</v>
      </c>
      <c r="G69" s="6">
        <v>0</v>
      </c>
      <c r="H69" s="6">
        <v>0</v>
      </c>
      <c r="I69" s="6">
        <v>0</v>
      </c>
    </row>
    <row r="70" spans="2:9" x14ac:dyDescent="0.3">
      <c r="B70" s="4" t="s">
        <v>130</v>
      </c>
      <c r="C70" s="4" t="s">
        <v>131</v>
      </c>
      <c r="D70" s="6">
        <v>9989.26</v>
      </c>
      <c r="E70" s="6">
        <v>15</v>
      </c>
      <c r="F70" s="6">
        <v>5490</v>
      </c>
      <c r="G70" s="6">
        <v>0</v>
      </c>
      <c r="H70" s="6">
        <v>1284.26</v>
      </c>
      <c r="I70" s="6">
        <v>3200</v>
      </c>
    </row>
    <row r="71" spans="2:9" x14ac:dyDescent="0.3">
      <c r="B71" s="4" t="s">
        <v>132</v>
      </c>
      <c r="C71" s="4" t="s">
        <v>133</v>
      </c>
      <c r="D71" s="6">
        <v>64</v>
      </c>
      <c r="E71" s="6">
        <v>0</v>
      </c>
      <c r="F71" s="6">
        <v>0</v>
      </c>
      <c r="G71" s="6">
        <v>0</v>
      </c>
      <c r="H71" s="6">
        <v>0</v>
      </c>
      <c r="I71" s="6">
        <v>64</v>
      </c>
    </row>
    <row r="72" spans="2:9" x14ac:dyDescent="0.3">
      <c r="B72" s="4" t="s">
        <v>134</v>
      </c>
      <c r="C72" s="4" t="s">
        <v>135</v>
      </c>
      <c r="D72" s="6">
        <v>950</v>
      </c>
      <c r="E72" s="6">
        <v>0</v>
      </c>
      <c r="F72" s="6">
        <v>0</v>
      </c>
      <c r="G72" s="6">
        <v>0</v>
      </c>
      <c r="H72" s="6">
        <v>0</v>
      </c>
      <c r="I72" s="6">
        <v>950</v>
      </c>
    </row>
    <row r="73" spans="2:9" x14ac:dyDescent="0.3">
      <c r="B73" s="4" t="s">
        <v>136</v>
      </c>
      <c r="C73" s="4" t="s">
        <v>137</v>
      </c>
      <c r="D73" s="6">
        <v>12685.35</v>
      </c>
      <c r="E73" s="6">
        <v>0</v>
      </c>
      <c r="F73" s="6">
        <v>0</v>
      </c>
      <c r="G73" s="6">
        <v>0</v>
      </c>
      <c r="H73" s="6">
        <v>7197.68</v>
      </c>
      <c r="I73" s="6">
        <v>5487.67</v>
      </c>
    </row>
    <row r="74" spans="2:9" x14ac:dyDescent="0.3">
      <c r="B74" s="4" t="s">
        <v>138</v>
      </c>
      <c r="C74" s="4" t="s">
        <v>139</v>
      </c>
      <c r="D74" s="6">
        <v>3026.02</v>
      </c>
      <c r="E74" s="6">
        <v>0</v>
      </c>
      <c r="F74" s="6">
        <v>1146.52</v>
      </c>
      <c r="G74" s="6">
        <v>0</v>
      </c>
      <c r="H74" s="6">
        <v>1360</v>
      </c>
      <c r="I74" s="6">
        <v>519.5</v>
      </c>
    </row>
    <row r="75" spans="2:9" x14ac:dyDescent="0.3">
      <c r="B75" s="8" t="s">
        <v>140</v>
      </c>
      <c r="C75" s="8" t="s">
        <v>141</v>
      </c>
      <c r="D75" s="9"/>
      <c r="E75" s="9"/>
      <c r="F75" s="9"/>
      <c r="G75" s="9"/>
      <c r="H75" s="9"/>
      <c r="I75" s="9"/>
    </row>
    <row r="76" spans="2:9" x14ac:dyDescent="0.3">
      <c r="B76" s="4" t="s">
        <v>142</v>
      </c>
      <c r="C76" s="4" t="s">
        <v>143</v>
      </c>
      <c r="D76" s="6">
        <v>3028.96</v>
      </c>
      <c r="E76" s="6">
        <v>120</v>
      </c>
      <c r="F76" s="6">
        <v>0</v>
      </c>
      <c r="G76" s="6">
        <v>0</v>
      </c>
      <c r="H76" s="6">
        <v>2623.96</v>
      </c>
      <c r="I76" s="6">
        <v>285</v>
      </c>
    </row>
    <row r="77" spans="2:9" x14ac:dyDescent="0.3">
      <c r="B77" s="4" t="s">
        <v>144</v>
      </c>
      <c r="C77" s="4" t="s">
        <v>145</v>
      </c>
      <c r="D77" s="6">
        <v>6710</v>
      </c>
      <c r="E77" s="6">
        <v>1417</v>
      </c>
      <c r="F77" s="6">
        <v>1432</v>
      </c>
      <c r="G77" s="6">
        <v>1518</v>
      </c>
      <c r="H77" s="6">
        <v>1204</v>
      </c>
      <c r="I77" s="6">
        <v>1139</v>
      </c>
    </row>
    <row r="78" spans="2:9" x14ac:dyDescent="0.3">
      <c r="B78" s="4" t="s">
        <v>146</v>
      </c>
      <c r="C78" s="4" t="s">
        <v>147</v>
      </c>
      <c r="D78" s="6">
        <v>20</v>
      </c>
      <c r="E78" s="6">
        <v>0</v>
      </c>
      <c r="F78" s="6">
        <v>20</v>
      </c>
      <c r="G78" s="6">
        <v>0</v>
      </c>
      <c r="H78" s="6">
        <v>0</v>
      </c>
      <c r="I78" s="6">
        <v>0</v>
      </c>
    </row>
    <row r="79" spans="2:9" x14ac:dyDescent="0.3">
      <c r="B79" s="4" t="s">
        <v>148</v>
      </c>
      <c r="C79" s="4" t="s">
        <v>149</v>
      </c>
      <c r="D79" s="6">
        <v>1974.04</v>
      </c>
      <c r="E79" s="6">
        <v>620</v>
      </c>
      <c r="F79" s="6">
        <v>515.04</v>
      </c>
      <c r="G79" s="6">
        <v>0</v>
      </c>
      <c r="H79" s="6">
        <v>769</v>
      </c>
      <c r="I79" s="6">
        <v>70</v>
      </c>
    </row>
    <row r="80" spans="2:9" x14ac:dyDescent="0.3">
      <c r="B80" s="4" t="s">
        <v>150</v>
      </c>
      <c r="C80" s="4" t="s">
        <v>151</v>
      </c>
      <c r="D80" s="6">
        <v>90717.16</v>
      </c>
      <c r="E80" s="6">
        <v>13968.61</v>
      </c>
      <c r="F80" s="6">
        <v>12077.29</v>
      </c>
      <c r="G80" s="6">
        <v>14540.36</v>
      </c>
      <c r="H80" s="6">
        <v>25664.27</v>
      </c>
      <c r="I80" s="6">
        <v>24466.63</v>
      </c>
    </row>
    <row r="81" spans="2:9" x14ac:dyDescent="0.3">
      <c r="B81" s="4" t="s">
        <v>152</v>
      </c>
      <c r="C81" s="4" t="s">
        <v>153</v>
      </c>
      <c r="D81" s="6">
        <v>1921.66</v>
      </c>
      <c r="E81" s="6">
        <v>581.44000000000005</v>
      </c>
      <c r="F81" s="6">
        <v>73.97</v>
      </c>
      <c r="G81" s="6">
        <v>220</v>
      </c>
      <c r="H81" s="6">
        <v>535.25</v>
      </c>
      <c r="I81" s="6">
        <v>511</v>
      </c>
    </row>
    <row r="82" spans="2:9" x14ac:dyDescent="0.3">
      <c r="B82" s="4" t="s">
        <v>154</v>
      </c>
      <c r="C82" s="4" t="s">
        <v>155</v>
      </c>
      <c r="D82" s="6">
        <v>784.16</v>
      </c>
      <c r="E82" s="6">
        <v>130</v>
      </c>
      <c r="F82" s="6">
        <v>30</v>
      </c>
      <c r="G82" s="6">
        <v>0</v>
      </c>
      <c r="H82" s="6">
        <v>624.16</v>
      </c>
      <c r="I82" s="6">
        <v>0</v>
      </c>
    </row>
    <row r="83" spans="2:9" x14ac:dyDescent="0.3">
      <c r="B83" s="4" t="s">
        <v>156</v>
      </c>
      <c r="C83" s="4" t="s">
        <v>157</v>
      </c>
      <c r="D83" s="6">
        <v>170</v>
      </c>
      <c r="E83" s="6">
        <v>0</v>
      </c>
      <c r="F83" s="6">
        <v>0</v>
      </c>
      <c r="G83" s="6">
        <v>0</v>
      </c>
      <c r="H83" s="6">
        <v>0</v>
      </c>
      <c r="I83" s="6">
        <v>170</v>
      </c>
    </row>
    <row r="84" spans="2:9" x14ac:dyDescent="0.3">
      <c r="B84" s="8" t="s">
        <v>158</v>
      </c>
      <c r="C84" s="8" t="s">
        <v>159</v>
      </c>
      <c r="D84" s="9"/>
      <c r="E84" s="9"/>
      <c r="F84" s="9"/>
      <c r="G84" s="9"/>
      <c r="H84" s="9"/>
      <c r="I84" s="9"/>
    </row>
    <row r="85" spans="2:9" x14ac:dyDescent="0.3">
      <c r="B85" s="4" t="s">
        <v>160</v>
      </c>
      <c r="C85" s="4" t="s">
        <v>161</v>
      </c>
      <c r="D85" s="6">
        <v>333</v>
      </c>
      <c r="E85" s="6">
        <v>0</v>
      </c>
      <c r="F85" s="6">
        <v>333</v>
      </c>
      <c r="G85" s="6">
        <v>0</v>
      </c>
      <c r="H85" s="6">
        <v>0</v>
      </c>
      <c r="I85" s="6">
        <v>0</v>
      </c>
    </row>
    <row r="86" spans="2:9" x14ac:dyDescent="0.3">
      <c r="B86" s="4" t="s">
        <v>162</v>
      </c>
      <c r="C86" s="4" t="s">
        <v>163</v>
      </c>
      <c r="D86" s="6">
        <v>13669.4</v>
      </c>
      <c r="E86" s="6">
        <v>2776.52</v>
      </c>
      <c r="F86" s="6">
        <v>2620.87</v>
      </c>
      <c r="G86" s="6">
        <v>821.74</v>
      </c>
      <c r="H86" s="6">
        <v>7450.27</v>
      </c>
      <c r="I86" s="6">
        <v>0</v>
      </c>
    </row>
    <row r="87" spans="2:9" x14ac:dyDescent="0.3">
      <c r="B87" s="4" t="s">
        <v>164</v>
      </c>
      <c r="C87" s="4" t="s">
        <v>165</v>
      </c>
      <c r="D87" s="6">
        <v>2261.89</v>
      </c>
      <c r="E87" s="6">
        <v>509.6</v>
      </c>
      <c r="F87" s="6">
        <v>429.68</v>
      </c>
      <c r="G87" s="6">
        <v>444.35</v>
      </c>
      <c r="H87" s="6">
        <v>439.13</v>
      </c>
      <c r="I87" s="6">
        <v>439.13</v>
      </c>
    </row>
    <row r="88" spans="2:9" x14ac:dyDescent="0.3">
      <c r="B88" s="4" t="s">
        <v>166</v>
      </c>
      <c r="C88" s="4" t="s">
        <v>167</v>
      </c>
      <c r="D88" s="6">
        <v>2861.13</v>
      </c>
      <c r="E88" s="6">
        <v>501.74</v>
      </c>
      <c r="F88" s="6">
        <v>545.38</v>
      </c>
      <c r="G88" s="6">
        <v>478.26</v>
      </c>
      <c r="H88" s="6">
        <v>561.74</v>
      </c>
      <c r="I88" s="6">
        <v>774.01</v>
      </c>
    </row>
    <row r="89" spans="2:9" x14ac:dyDescent="0.3">
      <c r="B89" s="4" t="s">
        <v>168</v>
      </c>
      <c r="C89" s="4" t="s">
        <v>169</v>
      </c>
      <c r="D89" s="6">
        <v>1930.67</v>
      </c>
      <c r="E89" s="6">
        <v>347.96</v>
      </c>
      <c r="F89" s="6">
        <v>409.6</v>
      </c>
      <c r="G89" s="6">
        <v>417.39</v>
      </c>
      <c r="H89" s="6">
        <v>414.81</v>
      </c>
      <c r="I89" s="6">
        <v>340.91</v>
      </c>
    </row>
    <row r="90" spans="2:9" x14ac:dyDescent="0.3">
      <c r="B90" s="4" t="s">
        <v>170</v>
      </c>
      <c r="C90" s="4" t="s">
        <v>171</v>
      </c>
      <c r="D90" s="6">
        <v>1189.5999999999999</v>
      </c>
      <c r="E90" s="6">
        <v>173.91</v>
      </c>
      <c r="F90" s="6">
        <v>254.78</v>
      </c>
      <c r="G90" s="6">
        <v>258.26</v>
      </c>
      <c r="H90" s="6">
        <v>258.29000000000002</v>
      </c>
      <c r="I90" s="6">
        <v>244.36</v>
      </c>
    </row>
    <row r="91" spans="2:9" x14ac:dyDescent="0.3">
      <c r="B91" s="4" t="s">
        <v>172</v>
      </c>
      <c r="C91" s="4" t="s">
        <v>173</v>
      </c>
      <c r="D91" s="6">
        <v>2910.52</v>
      </c>
      <c r="E91" s="6">
        <v>518.26</v>
      </c>
      <c r="F91" s="6">
        <v>527.74</v>
      </c>
      <c r="G91" s="6">
        <v>619.07000000000005</v>
      </c>
      <c r="H91" s="6">
        <v>724.58</v>
      </c>
      <c r="I91" s="6">
        <v>520.87</v>
      </c>
    </row>
    <row r="92" spans="2:9" x14ac:dyDescent="0.3">
      <c r="B92" s="4" t="s">
        <v>174</v>
      </c>
      <c r="C92" s="4" t="s">
        <v>175</v>
      </c>
      <c r="D92" s="6">
        <v>6352.65</v>
      </c>
      <c r="E92" s="6">
        <v>1300.03</v>
      </c>
      <c r="F92" s="6">
        <v>1172.96</v>
      </c>
      <c r="G92" s="6">
        <v>1330.43</v>
      </c>
      <c r="H92" s="6">
        <v>1395.95</v>
      </c>
      <c r="I92" s="6">
        <v>1153.28</v>
      </c>
    </row>
    <row r="93" spans="2:9" x14ac:dyDescent="0.3">
      <c r="B93" s="4" t="s">
        <v>176</v>
      </c>
      <c r="C93" s="4" t="s">
        <v>177</v>
      </c>
      <c r="D93" s="6">
        <v>1377.05</v>
      </c>
      <c r="E93" s="6">
        <v>0</v>
      </c>
      <c r="F93" s="6">
        <v>317.02999999999997</v>
      </c>
      <c r="G93" s="6">
        <v>298.56</v>
      </c>
      <c r="H93" s="6">
        <v>326.98</v>
      </c>
      <c r="I93" s="6">
        <v>434.48</v>
      </c>
    </row>
    <row r="94" spans="2:9" x14ac:dyDescent="0.3">
      <c r="B94" s="4" t="s">
        <v>178</v>
      </c>
      <c r="C94" s="4" t="s">
        <v>179</v>
      </c>
      <c r="D94" s="6">
        <v>1303.6199999999999</v>
      </c>
      <c r="E94" s="6">
        <v>260.87</v>
      </c>
      <c r="F94" s="6">
        <v>260.87</v>
      </c>
      <c r="G94" s="6">
        <v>260.87</v>
      </c>
      <c r="H94" s="6">
        <v>260.14</v>
      </c>
      <c r="I94" s="6">
        <v>260.87</v>
      </c>
    </row>
    <row r="95" spans="2:9" x14ac:dyDescent="0.3">
      <c r="B95" s="4" t="s">
        <v>180</v>
      </c>
      <c r="C95" s="4" t="s">
        <v>181</v>
      </c>
      <c r="D95" s="6">
        <v>3247.99</v>
      </c>
      <c r="E95" s="6">
        <v>0</v>
      </c>
      <c r="F95" s="6">
        <v>1665</v>
      </c>
      <c r="G95" s="6">
        <v>0</v>
      </c>
      <c r="H95" s="6">
        <v>1582.99</v>
      </c>
      <c r="I95" s="6">
        <v>0</v>
      </c>
    </row>
    <row r="96" spans="2:9" x14ac:dyDescent="0.3">
      <c r="B96" s="4" t="s">
        <v>182</v>
      </c>
      <c r="C96" s="4" t="s">
        <v>183</v>
      </c>
      <c r="D96" s="6">
        <v>2345.62</v>
      </c>
      <c r="E96" s="6">
        <v>434.26</v>
      </c>
      <c r="F96" s="6">
        <v>433.93</v>
      </c>
      <c r="G96" s="6">
        <v>434.27</v>
      </c>
      <c r="H96" s="6">
        <v>434.46</v>
      </c>
      <c r="I96" s="6">
        <v>608.70000000000005</v>
      </c>
    </row>
    <row r="97" spans="2:9" x14ac:dyDescent="0.3">
      <c r="B97" s="8" t="s">
        <v>184</v>
      </c>
      <c r="C97" s="8" t="s">
        <v>185</v>
      </c>
      <c r="D97" s="9"/>
      <c r="E97" s="9"/>
      <c r="F97" s="9"/>
      <c r="G97" s="9"/>
      <c r="H97" s="9"/>
      <c r="I97" s="9"/>
    </row>
    <row r="98" spans="2:9" x14ac:dyDescent="0.3">
      <c r="B98" s="4" t="s">
        <v>186</v>
      </c>
      <c r="C98" s="4" t="s">
        <v>187</v>
      </c>
      <c r="D98" s="6">
        <v>3943.2</v>
      </c>
      <c r="E98" s="6">
        <v>0</v>
      </c>
      <c r="F98" s="6">
        <v>985.8</v>
      </c>
      <c r="G98" s="6">
        <v>985.8</v>
      </c>
      <c r="H98" s="6">
        <v>985.8</v>
      </c>
      <c r="I98" s="6">
        <v>985.8</v>
      </c>
    </row>
    <row r="99" spans="2:9" x14ac:dyDescent="0.3">
      <c r="B99" s="4" t="s">
        <v>188</v>
      </c>
      <c r="C99" s="4" t="s">
        <v>189</v>
      </c>
      <c r="D99" s="6">
        <v>3420</v>
      </c>
      <c r="E99" s="6">
        <v>0</v>
      </c>
      <c r="F99" s="6">
        <v>0</v>
      </c>
      <c r="G99" s="6">
        <v>0</v>
      </c>
      <c r="H99" s="6">
        <v>0</v>
      </c>
      <c r="I99" s="6">
        <v>3420</v>
      </c>
    </row>
    <row r="100" spans="2:9" x14ac:dyDescent="0.3">
      <c r="B100" s="4" t="s">
        <v>190</v>
      </c>
      <c r="C100" s="4" t="s">
        <v>191</v>
      </c>
      <c r="D100" s="6">
        <v>3500</v>
      </c>
      <c r="E100" s="6">
        <v>0</v>
      </c>
      <c r="F100" s="6">
        <v>0</v>
      </c>
      <c r="G100" s="6">
        <v>3500</v>
      </c>
      <c r="H100" s="6">
        <v>0</v>
      </c>
      <c r="I100" s="6">
        <v>0</v>
      </c>
    </row>
    <row r="101" spans="2:9" x14ac:dyDescent="0.3">
      <c r="B101" s="4" t="s">
        <v>192</v>
      </c>
      <c r="C101" s="4" t="s">
        <v>193</v>
      </c>
      <c r="D101" s="6">
        <v>77510.539999999994</v>
      </c>
      <c r="E101" s="6">
        <v>15502.11</v>
      </c>
      <c r="F101" s="6">
        <v>15502.11</v>
      </c>
      <c r="G101" s="6">
        <v>15502.11</v>
      </c>
      <c r="H101" s="6">
        <v>15502.11</v>
      </c>
      <c r="I101" s="6">
        <v>15502.11</v>
      </c>
    </row>
    <row r="102" spans="2:9" x14ac:dyDescent="0.3">
      <c r="B102" s="8" t="s">
        <v>194</v>
      </c>
      <c r="C102" s="8" t="s">
        <v>195</v>
      </c>
      <c r="D102" s="9"/>
      <c r="E102" s="9"/>
      <c r="F102" s="9"/>
      <c r="G102" s="9"/>
      <c r="H102" s="9"/>
      <c r="I102" s="9"/>
    </row>
    <row r="103" spans="2:9" x14ac:dyDescent="0.3">
      <c r="B103" s="4" t="s">
        <v>196</v>
      </c>
      <c r="C103" s="4" t="s">
        <v>197</v>
      </c>
      <c r="D103" s="6">
        <v>421613.63</v>
      </c>
      <c r="E103" s="6">
        <v>51510.11</v>
      </c>
      <c r="F103" s="6">
        <v>126487.94</v>
      </c>
      <c r="G103" s="6">
        <v>78993.600000000006</v>
      </c>
      <c r="H103" s="6">
        <v>59875.360000000001</v>
      </c>
      <c r="I103" s="6">
        <v>104746.62</v>
      </c>
    </row>
    <row r="104" spans="2:9" x14ac:dyDescent="0.3">
      <c r="B104" s="4" t="s">
        <v>198</v>
      </c>
      <c r="C104" s="4" t="s">
        <v>199</v>
      </c>
      <c r="D104" s="6">
        <v>268691.71999999997</v>
      </c>
      <c r="E104" s="6">
        <v>12389</v>
      </c>
      <c r="F104" s="6">
        <v>101200.18</v>
      </c>
      <c r="G104" s="6">
        <v>13579.29</v>
      </c>
      <c r="H104" s="6">
        <v>103427.25</v>
      </c>
      <c r="I104" s="6">
        <v>38096</v>
      </c>
    </row>
    <row r="105" spans="2:9" x14ac:dyDescent="0.3">
      <c r="B105" s="4" t="s">
        <v>200</v>
      </c>
      <c r="C105" s="4" t="s">
        <v>201</v>
      </c>
      <c r="D105" s="6">
        <v>1859.18</v>
      </c>
      <c r="E105" s="6">
        <v>561.83000000000004</v>
      </c>
      <c r="F105" s="6">
        <v>397.39</v>
      </c>
      <c r="G105" s="6">
        <v>0</v>
      </c>
      <c r="H105" s="6">
        <v>595.64</v>
      </c>
      <c r="I105" s="6">
        <v>304.32</v>
      </c>
    </row>
    <row r="106" spans="2:9" x14ac:dyDescent="0.3">
      <c r="B106" s="4" t="s">
        <v>202</v>
      </c>
      <c r="C106" s="4" t="s">
        <v>203</v>
      </c>
      <c r="D106" s="6">
        <v>612.5</v>
      </c>
      <c r="E106" s="6">
        <v>0</v>
      </c>
      <c r="F106" s="6">
        <v>85</v>
      </c>
      <c r="G106" s="6">
        <v>0</v>
      </c>
      <c r="H106" s="6">
        <v>200</v>
      </c>
      <c r="I106" s="6">
        <v>327.5</v>
      </c>
    </row>
    <row r="107" spans="2:9" x14ac:dyDescent="0.3">
      <c r="B107" s="4" t="s">
        <v>204</v>
      </c>
      <c r="C107" s="4" t="s">
        <v>205</v>
      </c>
      <c r="D107" s="6">
        <v>3930</v>
      </c>
      <c r="E107" s="6">
        <v>2070</v>
      </c>
      <c r="F107" s="6">
        <v>0</v>
      </c>
      <c r="G107" s="6">
        <v>0</v>
      </c>
      <c r="H107" s="6">
        <v>0</v>
      </c>
      <c r="I107" s="6">
        <v>1860</v>
      </c>
    </row>
    <row r="108" spans="2:9" x14ac:dyDescent="0.3">
      <c r="B108" s="4" t="s">
        <v>206</v>
      </c>
      <c r="C108" s="4" t="s">
        <v>207</v>
      </c>
      <c r="D108" s="6">
        <v>21173</v>
      </c>
      <c r="E108" s="6">
        <v>0</v>
      </c>
      <c r="F108" s="6">
        <v>0</v>
      </c>
      <c r="G108" s="6">
        <v>2467</v>
      </c>
      <c r="H108" s="6">
        <v>1506</v>
      </c>
      <c r="I108" s="6">
        <v>17200</v>
      </c>
    </row>
    <row r="109" spans="2:9" x14ac:dyDescent="0.3">
      <c r="B109" s="4" t="s">
        <v>208</v>
      </c>
      <c r="C109" s="4" t="s">
        <v>209</v>
      </c>
      <c r="D109" s="6">
        <v>1200</v>
      </c>
      <c r="E109" s="6">
        <v>0</v>
      </c>
      <c r="F109" s="6">
        <v>0</v>
      </c>
      <c r="G109" s="6">
        <v>0</v>
      </c>
      <c r="H109" s="6">
        <v>0</v>
      </c>
      <c r="I109" s="6">
        <v>1200</v>
      </c>
    </row>
    <row r="110" spans="2:9" x14ac:dyDescent="0.3">
      <c r="B110" s="4" t="s">
        <v>210</v>
      </c>
      <c r="C110" s="4" t="s">
        <v>211</v>
      </c>
      <c r="D110" s="6">
        <v>375</v>
      </c>
      <c r="E110" s="6">
        <v>0</v>
      </c>
      <c r="F110" s="6">
        <v>375</v>
      </c>
      <c r="G110" s="6">
        <v>0</v>
      </c>
      <c r="H110" s="6">
        <v>0</v>
      </c>
      <c r="I110" s="6">
        <v>0</v>
      </c>
    </row>
    <row r="111" spans="2:9" x14ac:dyDescent="0.3">
      <c r="B111" s="4" t="s">
        <v>212</v>
      </c>
      <c r="C111" s="4" t="s">
        <v>213</v>
      </c>
      <c r="D111" s="6">
        <v>22</v>
      </c>
      <c r="E111" s="6">
        <v>0</v>
      </c>
      <c r="F111" s="6">
        <v>22</v>
      </c>
      <c r="G111" s="6">
        <v>0</v>
      </c>
      <c r="H111" s="6">
        <v>0</v>
      </c>
      <c r="I111" s="6">
        <v>0</v>
      </c>
    </row>
    <row r="112" spans="2:9" x14ac:dyDescent="0.3">
      <c r="B112" s="4" t="s">
        <v>214</v>
      </c>
      <c r="C112" s="4" t="s">
        <v>215</v>
      </c>
      <c r="D112" s="6">
        <v>6171.03</v>
      </c>
      <c r="E112" s="6">
        <v>26</v>
      </c>
      <c r="F112" s="6">
        <v>3217.83</v>
      </c>
      <c r="G112" s="6">
        <v>0</v>
      </c>
      <c r="H112" s="6">
        <v>1131.33</v>
      </c>
      <c r="I112" s="6">
        <v>1795.87</v>
      </c>
    </row>
    <row r="113" spans="2:9" x14ac:dyDescent="0.3">
      <c r="B113" s="8" t="s">
        <v>216</v>
      </c>
      <c r="C113" s="8" t="s">
        <v>217</v>
      </c>
      <c r="D113" s="9"/>
      <c r="E113" s="9"/>
      <c r="F113" s="9"/>
      <c r="G113" s="9"/>
      <c r="H113" s="9"/>
      <c r="I113" s="9"/>
    </row>
    <row r="114" spans="2:9" x14ac:dyDescent="0.3">
      <c r="B114" s="4" t="s">
        <v>218</v>
      </c>
      <c r="C114" s="4" t="s">
        <v>219</v>
      </c>
      <c r="D114" s="6">
        <v>6.9</v>
      </c>
      <c r="E114" s="6">
        <v>0</v>
      </c>
      <c r="F114" s="6">
        <v>0</v>
      </c>
      <c r="G114" s="6">
        <v>0</v>
      </c>
      <c r="H114" s="6">
        <v>0</v>
      </c>
      <c r="I114" s="6">
        <v>6.9</v>
      </c>
    </row>
    <row r="115" spans="2:9" x14ac:dyDescent="0.3">
      <c r="B115" s="4" t="s">
        <v>220</v>
      </c>
      <c r="C115" s="4" t="s">
        <v>221</v>
      </c>
      <c r="D115" s="6">
        <v>7492.63</v>
      </c>
      <c r="E115" s="6">
        <v>2700.46</v>
      </c>
      <c r="F115" s="6">
        <v>2035.17</v>
      </c>
      <c r="G115" s="6">
        <v>919</v>
      </c>
      <c r="H115" s="6">
        <v>919</v>
      </c>
      <c r="I115" s="6">
        <v>919</v>
      </c>
    </row>
    <row r="116" spans="2:9" x14ac:dyDescent="0.3">
      <c r="B116" s="4" t="s">
        <v>222</v>
      </c>
      <c r="C116" s="4" t="s">
        <v>223</v>
      </c>
      <c r="D116" s="6">
        <v>7500</v>
      </c>
      <c r="E116" s="6">
        <v>0</v>
      </c>
      <c r="F116" s="6">
        <v>0</v>
      </c>
      <c r="G116" s="6">
        <v>0</v>
      </c>
      <c r="H116" s="6">
        <v>0</v>
      </c>
      <c r="I116" s="6">
        <v>7500</v>
      </c>
    </row>
    <row r="117" spans="2:9" x14ac:dyDescent="0.3">
      <c r="B117" s="4" t="s">
        <v>224</v>
      </c>
      <c r="C117" s="4" t="s">
        <v>225</v>
      </c>
      <c r="D117" s="6">
        <v>1045</v>
      </c>
      <c r="E117" s="6">
        <v>0</v>
      </c>
      <c r="F117" s="6">
        <v>0</v>
      </c>
      <c r="G117" s="6">
        <v>0</v>
      </c>
      <c r="H117" s="6">
        <v>700</v>
      </c>
      <c r="I117" s="6">
        <v>345</v>
      </c>
    </row>
    <row r="118" spans="2:9" x14ac:dyDescent="0.3">
      <c r="B118" s="4" t="s">
        <v>226</v>
      </c>
      <c r="C118" s="4" t="s">
        <v>227</v>
      </c>
      <c r="D118" s="6">
        <v>6552.74</v>
      </c>
      <c r="E118" s="6">
        <v>6552.74</v>
      </c>
      <c r="F118" s="6">
        <v>0</v>
      </c>
      <c r="G118" s="6">
        <v>0</v>
      </c>
      <c r="H118" s="6">
        <v>0</v>
      </c>
      <c r="I118" s="6">
        <v>0</v>
      </c>
    </row>
    <row r="119" spans="2:9" x14ac:dyDescent="0.3">
      <c r="B119" s="4" t="s">
        <v>228</v>
      </c>
      <c r="C119" s="4" t="s">
        <v>229</v>
      </c>
      <c r="D119" s="6">
        <v>29000</v>
      </c>
      <c r="E119" s="6">
        <v>0</v>
      </c>
      <c r="F119" s="6">
        <v>12000</v>
      </c>
      <c r="G119" s="6">
        <v>17000</v>
      </c>
      <c r="H119" s="6">
        <v>0</v>
      </c>
      <c r="I119" s="6">
        <v>0</v>
      </c>
    </row>
    <row r="120" spans="2:9" x14ac:dyDescent="0.3">
      <c r="B120" s="4" t="s">
        <v>230</v>
      </c>
      <c r="C120" s="4" t="s">
        <v>231</v>
      </c>
      <c r="D120" s="6">
        <v>5766.8</v>
      </c>
      <c r="E120" s="6">
        <v>0</v>
      </c>
      <c r="F120" s="6">
        <v>3484.05</v>
      </c>
      <c r="G120" s="6">
        <v>1707.75</v>
      </c>
      <c r="H120" s="6">
        <v>0</v>
      </c>
      <c r="I120" s="6">
        <v>575</v>
      </c>
    </row>
    <row r="121" spans="2:9" x14ac:dyDescent="0.3">
      <c r="B121" s="4" t="s">
        <v>232</v>
      </c>
      <c r="C121" s="4" t="s">
        <v>233</v>
      </c>
      <c r="D121" s="6">
        <v>11433.32</v>
      </c>
      <c r="E121" s="6">
        <v>1000</v>
      </c>
      <c r="F121" s="6">
        <v>1200</v>
      </c>
      <c r="G121" s="6">
        <v>1025</v>
      </c>
      <c r="H121" s="6">
        <v>7108.32</v>
      </c>
      <c r="I121" s="6">
        <v>1100</v>
      </c>
    </row>
    <row r="122" spans="2:9" x14ac:dyDescent="0.3">
      <c r="B122" s="4" t="s">
        <v>234</v>
      </c>
      <c r="C122" s="4" t="s">
        <v>235</v>
      </c>
      <c r="D122" s="6">
        <v>7219.8</v>
      </c>
      <c r="E122" s="6">
        <v>0</v>
      </c>
      <c r="F122" s="6">
        <v>0</v>
      </c>
      <c r="G122" s="6">
        <v>7219.8</v>
      </c>
      <c r="H122" s="6">
        <v>0</v>
      </c>
      <c r="I122" s="6">
        <v>0</v>
      </c>
    </row>
    <row r="123" spans="2:9" x14ac:dyDescent="0.3">
      <c r="B123" s="4" t="s">
        <v>236</v>
      </c>
      <c r="C123" s="4" t="s">
        <v>237</v>
      </c>
      <c r="D123" s="6">
        <v>4751.55</v>
      </c>
      <c r="E123" s="6">
        <v>1800</v>
      </c>
      <c r="F123" s="6">
        <v>2248.25</v>
      </c>
      <c r="G123" s="6">
        <v>564.29999999999995</v>
      </c>
      <c r="H123" s="6">
        <v>1372.34</v>
      </c>
      <c r="I123" s="6">
        <v>-1233.3399999999999</v>
      </c>
    </row>
    <row r="124" spans="2:9" x14ac:dyDescent="0.3">
      <c r="B124" s="8" t="s">
        <v>238</v>
      </c>
      <c r="C124" s="8" t="s">
        <v>239</v>
      </c>
      <c r="D124" s="9"/>
      <c r="E124" s="9"/>
      <c r="F124" s="9"/>
      <c r="G124" s="9"/>
      <c r="H124" s="9"/>
      <c r="I124" s="9"/>
    </row>
    <row r="125" spans="2:9" x14ac:dyDescent="0.3">
      <c r="B125" s="4" t="s">
        <v>240</v>
      </c>
      <c r="C125" s="4" t="s">
        <v>241</v>
      </c>
      <c r="D125" s="6">
        <v>275354.59999999998</v>
      </c>
      <c r="E125" s="6">
        <v>64000</v>
      </c>
      <c r="F125" s="6">
        <v>43704.2</v>
      </c>
      <c r="G125" s="6">
        <v>57504</v>
      </c>
      <c r="H125" s="6">
        <v>52146.400000000001</v>
      </c>
      <c r="I125" s="6">
        <v>58000</v>
      </c>
    </row>
    <row r="126" spans="2:9" x14ac:dyDescent="0.3">
      <c r="B126" s="4" t="s">
        <v>242</v>
      </c>
      <c r="C126" s="4" t="s">
        <v>243</v>
      </c>
      <c r="D126" s="6">
        <v>1249.17</v>
      </c>
      <c r="E126" s="6">
        <v>0</v>
      </c>
      <c r="F126" s="6">
        <v>500</v>
      </c>
      <c r="G126" s="6">
        <v>0</v>
      </c>
      <c r="H126" s="6">
        <v>0</v>
      </c>
      <c r="I126" s="6">
        <v>749.17</v>
      </c>
    </row>
    <row r="127" spans="2:9" x14ac:dyDescent="0.3">
      <c r="B127" s="4" t="s">
        <v>244</v>
      </c>
      <c r="C127" s="4" t="s">
        <v>245</v>
      </c>
      <c r="D127" s="6">
        <v>398.7</v>
      </c>
      <c r="E127" s="6">
        <v>286.7</v>
      </c>
      <c r="F127" s="6">
        <v>56</v>
      </c>
      <c r="G127" s="6">
        <v>0</v>
      </c>
      <c r="H127" s="6">
        <v>0</v>
      </c>
      <c r="I127" s="6">
        <v>56</v>
      </c>
    </row>
    <row r="128" spans="2:9" x14ac:dyDescent="0.3">
      <c r="B128" s="4" t="s">
        <v>246</v>
      </c>
      <c r="C128" s="4" t="s">
        <v>247</v>
      </c>
      <c r="D128" s="6">
        <v>25953.06</v>
      </c>
      <c r="E128" s="6">
        <v>3646.78</v>
      </c>
      <c r="F128" s="6">
        <v>3550.81</v>
      </c>
      <c r="G128" s="6">
        <v>3445.92</v>
      </c>
      <c r="H128" s="6">
        <v>5216.1499999999996</v>
      </c>
      <c r="I128" s="6">
        <v>10093.4</v>
      </c>
    </row>
    <row r="129" spans="2:9" x14ac:dyDescent="0.3">
      <c r="B129" s="4" t="s">
        <v>248</v>
      </c>
      <c r="C129" s="4" t="s">
        <v>249</v>
      </c>
      <c r="D129" s="6">
        <v>8346.15</v>
      </c>
      <c r="E129" s="6">
        <v>2611.27</v>
      </c>
      <c r="F129" s="6">
        <v>140</v>
      </c>
      <c r="G129" s="6">
        <v>999.47</v>
      </c>
      <c r="H129" s="6">
        <v>3151.5</v>
      </c>
      <c r="I129" s="6">
        <v>1443.91</v>
      </c>
    </row>
    <row r="130" spans="2:9" x14ac:dyDescent="0.3">
      <c r="B130" s="8" t="s">
        <v>250</v>
      </c>
      <c r="C130" s="8" t="s">
        <v>251</v>
      </c>
      <c r="D130" s="9"/>
      <c r="E130" s="9"/>
      <c r="F130" s="9"/>
      <c r="G130" s="9"/>
      <c r="H130" s="9"/>
      <c r="I130" s="9"/>
    </row>
    <row r="131" spans="2:9" x14ac:dyDescent="0.3">
      <c r="B131" s="4" t="s">
        <v>252</v>
      </c>
      <c r="C131" s="4" t="s">
        <v>253</v>
      </c>
      <c r="D131" s="6">
        <v>390</v>
      </c>
      <c r="E131" s="6">
        <v>0</v>
      </c>
      <c r="F131" s="6">
        <v>0</v>
      </c>
      <c r="G131" s="6">
        <v>0</v>
      </c>
      <c r="H131" s="6">
        <v>0</v>
      </c>
      <c r="I131" s="6">
        <v>390</v>
      </c>
    </row>
    <row r="132" spans="2:9" x14ac:dyDescent="0.3">
      <c r="B132" s="8" t="s">
        <v>254</v>
      </c>
      <c r="C132" s="8" t="s">
        <v>255</v>
      </c>
      <c r="D132" s="9"/>
      <c r="E132" s="9"/>
      <c r="F132" s="9"/>
      <c r="G132" s="9"/>
      <c r="H132" s="9"/>
      <c r="I132" s="9"/>
    </row>
    <row r="133" spans="2:9" x14ac:dyDescent="0.3">
      <c r="B133" s="4" t="s">
        <v>256</v>
      </c>
      <c r="C133" s="4" t="s">
        <v>257</v>
      </c>
      <c r="D133" s="6">
        <v>10313</v>
      </c>
      <c r="E133" s="6">
        <v>0</v>
      </c>
      <c r="F133" s="6">
        <v>4688</v>
      </c>
      <c r="G133" s="6">
        <v>0</v>
      </c>
      <c r="H133" s="6">
        <v>0</v>
      </c>
      <c r="I133" s="6">
        <v>5625</v>
      </c>
    </row>
    <row r="134" spans="2:9" x14ac:dyDescent="0.3">
      <c r="B134" s="8" t="s">
        <v>258</v>
      </c>
      <c r="C134" s="8" t="s">
        <v>259</v>
      </c>
      <c r="D134" s="9"/>
      <c r="E134" s="9"/>
      <c r="F134" s="9"/>
      <c r="G134" s="9"/>
      <c r="H134" s="9"/>
      <c r="I134" s="9"/>
    </row>
    <row r="135" spans="2:9" x14ac:dyDescent="0.3">
      <c r="B135" s="4" t="s">
        <v>260</v>
      </c>
      <c r="C135" s="4" t="s">
        <v>261</v>
      </c>
      <c r="D135" s="6">
        <v>380</v>
      </c>
      <c r="E135" s="6">
        <v>0</v>
      </c>
      <c r="F135" s="6">
        <v>0</v>
      </c>
      <c r="G135" s="6">
        <v>0</v>
      </c>
      <c r="H135" s="6">
        <v>308</v>
      </c>
      <c r="I135" s="6">
        <v>72</v>
      </c>
    </row>
    <row r="136" spans="2:9" x14ac:dyDescent="0.3">
      <c r="B136" s="8" t="s">
        <v>262</v>
      </c>
      <c r="C136" s="8" t="s">
        <v>263</v>
      </c>
      <c r="D136" s="9"/>
      <c r="E136" s="9"/>
      <c r="F136" s="9"/>
      <c r="G136" s="9"/>
      <c r="H136" s="9"/>
      <c r="I136" s="9"/>
    </row>
    <row r="137" spans="2:9" x14ac:dyDescent="0.3">
      <c r="B137" s="4" t="s">
        <v>264</v>
      </c>
      <c r="C137" s="4" t="s">
        <v>265</v>
      </c>
      <c r="D137" s="6">
        <v>7.36</v>
      </c>
      <c r="E137" s="6">
        <v>4.5199999999999996</v>
      </c>
      <c r="F137" s="6">
        <v>0.09</v>
      </c>
      <c r="G137" s="6">
        <v>0.51</v>
      </c>
      <c r="H137" s="6">
        <v>2.39</v>
      </c>
      <c r="I137" s="6">
        <v>0</v>
      </c>
    </row>
    <row r="138" spans="2:9" x14ac:dyDescent="0.3">
      <c r="B138" s="4" t="s">
        <v>266</v>
      </c>
      <c r="C138" s="4" t="s">
        <v>267</v>
      </c>
      <c r="D138" s="6">
        <v>406.69</v>
      </c>
      <c r="E138" s="6">
        <v>0</v>
      </c>
      <c r="F138" s="6">
        <v>406.69</v>
      </c>
      <c r="G138" s="6">
        <v>0</v>
      </c>
      <c r="H138" s="6">
        <v>0</v>
      </c>
      <c r="I138" s="6">
        <v>0</v>
      </c>
    </row>
    <row r="139" spans="2:9" x14ac:dyDescent="0.3">
      <c r="B139" s="8" t="s">
        <v>268</v>
      </c>
      <c r="C139" s="8" t="s">
        <v>269</v>
      </c>
      <c r="D139" s="9"/>
      <c r="E139" s="9"/>
      <c r="F139" s="9"/>
      <c r="G139" s="9"/>
      <c r="H139" s="9"/>
      <c r="I139" s="9"/>
    </row>
    <row r="140" spans="2:9" x14ac:dyDescent="0.3">
      <c r="B140" s="4" t="s">
        <v>270</v>
      </c>
      <c r="C140" s="4" t="s">
        <v>271</v>
      </c>
      <c r="D140" s="6">
        <v>1069.77</v>
      </c>
      <c r="E140" s="6">
        <v>386.16</v>
      </c>
      <c r="F140" s="6">
        <v>131.13</v>
      </c>
      <c r="G140" s="6">
        <v>252.41</v>
      </c>
      <c r="H140" s="6">
        <v>160.63999999999999</v>
      </c>
      <c r="I140" s="6">
        <v>139.43</v>
      </c>
    </row>
    <row r="141" spans="2:9" x14ac:dyDescent="0.3">
      <c r="B141" s="4"/>
      <c r="C141" s="13" t="s">
        <v>272</v>
      </c>
      <c r="D141" s="12">
        <f>SUM(D22:D140)</f>
        <v>2759698.8099999987</v>
      </c>
      <c r="E141" s="12">
        <f t="shared" ref="E141:I141" si="1">SUM(E22:E140)</f>
        <v>461699.82</v>
      </c>
      <c r="F141" s="12">
        <f t="shared" si="1"/>
        <v>601367.72</v>
      </c>
      <c r="G141" s="12">
        <f t="shared" si="1"/>
        <v>483738.85999999981</v>
      </c>
      <c r="H141" s="12">
        <f t="shared" si="1"/>
        <v>612009.52</v>
      </c>
      <c r="I141" s="12">
        <f t="shared" si="1"/>
        <v>600883.05000000016</v>
      </c>
    </row>
    <row r="142" spans="2:9" x14ac:dyDescent="0.3">
      <c r="B142" s="10"/>
      <c r="C142" s="10" t="s">
        <v>274</v>
      </c>
      <c r="D142" s="11">
        <f>D20-D141</f>
        <v>316920.95000000205</v>
      </c>
      <c r="E142" s="11">
        <f t="shared" ref="E142:I142" si="2">E20-E141</f>
        <v>99179.659999999974</v>
      </c>
      <c r="F142" s="11">
        <f t="shared" si="2"/>
        <v>-64944.699999999953</v>
      </c>
      <c r="G142" s="11">
        <f t="shared" si="2"/>
        <v>149707.23000000016</v>
      </c>
      <c r="H142" s="11">
        <f t="shared" si="2"/>
        <v>64377.610000000102</v>
      </c>
      <c r="I142" s="11">
        <f t="shared" si="2"/>
        <v>68600.989999999874</v>
      </c>
    </row>
  </sheetData>
  <autoFilter ref="B5:I142" xr:uid="{C71BE61B-3056-4868-A735-12C8C2BA189B}"/>
  <mergeCells count="3">
    <mergeCell ref="B1:I1"/>
    <mergeCell ref="B2:I2"/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Rasheed</dc:creator>
  <cp:lastModifiedBy>Abdul Rasheed</cp:lastModifiedBy>
  <dcterms:created xsi:type="dcterms:W3CDTF">2026-06-17T16:39:15Z</dcterms:created>
  <dcterms:modified xsi:type="dcterms:W3CDTF">2026-06-18T06:04:44Z</dcterms:modified>
</cp:coreProperties>
</file>